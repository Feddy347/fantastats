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cbbf4999f858e8/Desktop/Fantacalcio/Calcolo/"/>
    </mc:Choice>
  </mc:AlternateContent>
  <xr:revisionPtr revIDLastSave="917" documentId="13_ncr:1_{C2531D84-7B7D-49A6-8FDE-F7BB69887D85}" xr6:coauthVersionLast="47" xr6:coauthVersionMax="47" xr10:uidLastSave="{6A181E19-3AAF-4BC9-B5C9-30485DAD8049}"/>
  <bookViews>
    <workbookView xWindow="-120" yWindow="-120" windowWidth="20730" windowHeight="11040" xr2:uid="{00000000-000D-0000-FFFF-FFFF00000000}"/>
  </bookViews>
  <sheets>
    <sheet name="Punteggi GW" sheetId="9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9" l="1"/>
  <c r="D21" i="9"/>
  <c r="D46" i="9"/>
  <c r="D42" i="9"/>
  <c r="D43" i="9"/>
  <c r="D44" i="9"/>
  <c r="D45" i="9"/>
  <c r="D65" i="9"/>
  <c r="D66" i="9"/>
  <c r="D67" i="9"/>
  <c r="D90" i="9"/>
  <c r="D87" i="9"/>
  <c r="D88" i="9"/>
  <c r="D110" i="9"/>
  <c r="D111" i="9"/>
  <c r="D112" i="9"/>
  <c r="E127" i="9" a="1"/>
  <c r="E127" i="9" s="1"/>
  <c r="D138" i="9"/>
  <c r="D137" i="9"/>
  <c r="D136" i="9"/>
  <c r="D135" i="9"/>
  <c r="D134" i="9"/>
  <c r="D133" i="9"/>
  <c r="D132" i="9"/>
  <c r="D131" i="9"/>
  <c r="D130" i="9"/>
  <c r="D115" i="9"/>
  <c r="D114" i="9"/>
  <c r="D113" i="9"/>
  <c r="D109" i="9"/>
  <c r="D108" i="9"/>
  <c r="D107" i="9"/>
  <c r="D92" i="9"/>
  <c r="D91" i="9"/>
  <c r="D89" i="9"/>
  <c r="D86" i="9"/>
  <c r="D85" i="9"/>
  <c r="D84" i="9"/>
  <c r="D69" i="9"/>
  <c r="D68" i="9"/>
  <c r="D64" i="9"/>
  <c r="D63" i="9"/>
  <c r="D62" i="9"/>
  <c r="D61" i="9"/>
  <c r="D41" i="9"/>
  <c r="D40" i="9"/>
  <c r="D39" i="9"/>
  <c r="D38" i="9"/>
  <c r="B111" i="9"/>
  <c r="B110" i="9"/>
  <c r="B113" i="9"/>
  <c r="B112" i="9"/>
  <c r="E38" i="9"/>
  <c r="E4" i="9" a="1"/>
  <c r="E4" i="9" s="1"/>
  <c r="E5" i="9" a="1"/>
  <c r="E5" i="9" s="1"/>
  <c r="E6" i="9" a="1"/>
  <c r="E6" i="9" s="1"/>
  <c r="E7" i="9" a="1"/>
  <c r="E7" i="9" s="1"/>
  <c r="E8" i="9" a="1"/>
  <c r="E8" i="9" s="1"/>
  <c r="E9" i="9" a="1"/>
  <c r="E9" i="9" s="1"/>
  <c r="E10" i="9" a="1"/>
  <c r="E10" i="9" s="1"/>
  <c r="E11" i="9" a="1"/>
  <c r="E11" i="9" s="1"/>
  <c r="E12" i="9" a="1"/>
  <c r="E12" i="9" s="1"/>
  <c r="E13" i="9" a="1"/>
  <c r="E13" i="9" s="1"/>
  <c r="E119" i="9" a="1"/>
  <c r="E119" i="9" s="1"/>
  <c r="E120" i="9" a="1"/>
  <c r="E120" i="9" s="1"/>
  <c r="E121" i="9" a="1"/>
  <c r="E121" i="9" s="1"/>
  <c r="E122" i="9" a="1"/>
  <c r="E122" i="9" s="1"/>
  <c r="E123" i="9" a="1"/>
  <c r="E123" i="9" s="1"/>
  <c r="E124" i="9" a="1"/>
  <c r="E124" i="9" s="1"/>
  <c r="E125" i="9" a="1"/>
  <c r="E125" i="9" s="1"/>
  <c r="E126" i="9" a="1"/>
  <c r="E126" i="9" s="1"/>
  <c r="E128" i="9" a="1"/>
  <c r="E128" i="9" s="1"/>
  <c r="E118" i="9" a="1"/>
  <c r="E118" i="9" s="1"/>
  <c r="E96" i="9" a="1"/>
  <c r="E96" i="9" s="1"/>
  <c r="E97" i="9" a="1"/>
  <c r="E97" i="9" s="1"/>
  <c r="E98" i="9" a="1"/>
  <c r="E98" i="9" s="1"/>
  <c r="E99" i="9" a="1"/>
  <c r="E99" i="9" s="1"/>
  <c r="E100" i="9" a="1"/>
  <c r="E100" i="9" s="1"/>
  <c r="E101" i="9" a="1"/>
  <c r="E101" i="9" s="1"/>
  <c r="E102" i="9" a="1"/>
  <c r="E102" i="9" s="1"/>
  <c r="E103" i="9" a="1"/>
  <c r="E103" i="9" s="1"/>
  <c r="E104" i="9" a="1"/>
  <c r="E104" i="9" s="1"/>
  <c r="E105" i="9" a="1"/>
  <c r="E105" i="9" s="1"/>
  <c r="E95" i="9" a="1"/>
  <c r="E95" i="9" s="1"/>
  <c r="E73" i="9" a="1"/>
  <c r="E73" i="9" s="1"/>
  <c r="E74" i="9" a="1"/>
  <c r="E74" i="9" s="1"/>
  <c r="E75" i="9" a="1"/>
  <c r="E75" i="9" s="1"/>
  <c r="E77" i="9" a="1"/>
  <c r="E77" i="9" s="1"/>
  <c r="E78" i="9" a="1"/>
  <c r="E78" i="9" s="1"/>
  <c r="E79" i="9" a="1"/>
  <c r="E79" i="9" s="1"/>
  <c r="E80" i="9" a="1"/>
  <c r="E80" i="9" s="1"/>
  <c r="E81" i="9" a="1"/>
  <c r="E81" i="9" s="1"/>
  <c r="E82" i="9" a="1"/>
  <c r="E82" i="9" s="1"/>
  <c r="E72" i="9" a="1"/>
  <c r="E72" i="9" s="1"/>
  <c r="E51" i="9" a="1"/>
  <c r="E51" i="9" s="1"/>
  <c r="E52" i="9" a="1"/>
  <c r="E52" i="9" s="1"/>
  <c r="E53" i="9" a="1"/>
  <c r="E53" i="9" s="1"/>
  <c r="E54" i="9" a="1"/>
  <c r="E54" i="9" s="1"/>
  <c r="E55" i="9" a="1"/>
  <c r="E55" i="9" s="1"/>
  <c r="E56" i="9" a="1"/>
  <c r="E56" i="9" s="1"/>
  <c r="E57" i="9" a="1"/>
  <c r="E57" i="9" s="1"/>
  <c r="E58" i="9" a="1"/>
  <c r="E58" i="9" s="1"/>
  <c r="E59" i="9" a="1"/>
  <c r="E59" i="9" s="1"/>
  <c r="E49" i="9" a="1"/>
  <c r="E49" i="9" s="1"/>
  <c r="E27" i="9" a="1"/>
  <c r="E27" i="9" s="1"/>
  <c r="E28" i="9" a="1"/>
  <c r="E28" i="9" s="1"/>
  <c r="E29" i="9" a="1"/>
  <c r="E29" i="9" s="1"/>
  <c r="E30" i="9" a="1"/>
  <c r="E30" i="9" s="1"/>
  <c r="E31" i="9" a="1"/>
  <c r="E31" i="9" s="1"/>
  <c r="E32" i="9" a="1"/>
  <c r="E32" i="9" s="1"/>
  <c r="E35" i="9" a="1"/>
  <c r="E35" i="9" s="1"/>
  <c r="E36" i="9" a="1"/>
  <c r="E36" i="9" s="1"/>
  <c r="E26" i="9" a="1"/>
  <c r="E26" i="9" s="1"/>
  <c r="E138" i="9"/>
  <c r="E137" i="9"/>
  <c r="E136" i="9"/>
  <c r="E135" i="9"/>
  <c r="E134" i="9"/>
  <c r="E133" i="9"/>
  <c r="E132" i="9"/>
  <c r="E131" i="9"/>
  <c r="E130" i="9"/>
  <c r="E113" i="9"/>
  <c r="E112" i="9"/>
  <c r="E111" i="9"/>
  <c r="E110" i="9"/>
  <c r="E109" i="9"/>
  <c r="E108" i="9"/>
  <c r="E107" i="9"/>
  <c r="E92" i="9"/>
  <c r="E91" i="9"/>
  <c r="E90" i="9"/>
  <c r="E89" i="9"/>
  <c r="E88" i="9"/>
  <c r="E87" i="9"/>
  <c r="E86" i="9"/>
  <c r="E76" i="9" s="1" a="1"/>
  <c r="E76" i="9" s="1"/>
  <c r="E85" i="9"/>
  <c r="E84" i="9"/>
  <c r="E67" i="9"/>
  <c r="E66" i="9"/>
  <c r="E65" i="9"/>
  <c r="E64" i="9"/>
  <c r="E63" i="9"/>
  <c r="E62" i="9"/>
  <c r="E61" i="9"/>
  <c r="E46" i="9"/>
  <c r="E45" i="9"/>
  <c r="E44" i="9"/>
  <c r="E43" i="9"/>
  <c r="E42" i="9"/>
  <c r="E41" i="9"/>
  <c r="E40" i="9"/>
  <c r="E39" i="9"/>
  <c r="E33" i="9" s="1" a="1"/>
  <c r="E33" i="9" s="1"/>
  <c r="E15" i="9"/>
  <c r="E16" i="9"/>
  <c r="E17" i="9"/>
  <c r="E18" i="9"/>
  <c r="D16" i="9"/>
  <c r="D17" i="9"/>
  <c r="D15" i="9"/>
  <c r="D18" i="9"/>
  <c r="D19" i="9"/>
  <c r="D22" i="9"/>
  <c r="D23" i="9"/>
  <c r="D4" i="9"/>
  <c r="D5" i="9"/>
  <c r="D6" i="9"/>
  <c r="D7" i="9"/>
  <c r="D8" i="9"/>
  <c r="D9" i="9"/>
  <c r="D10" i="9"/>
  <c r="D11" i="9"/>
  <c r="D12" i="9"/>
  <c r="D13" i="9"/>
  <c r="E19" i="9"/>
  <c r="E20" i="9"/>
  <c r="E21" i="9"/>
  <c r="E22" i="9"/>
  <c r="E3" i="9" s="1" a="1"/>
  <c r="E3" i="9" s="1"/>
  <c r="D26" i="9"/>
  <c r="D28" i="9"/>
  <c r="D29" i="9"/>
  <c r="D30" i="9"/>
  <c r="D31" i="9"/>
  <c r="D32" i="9"/>
  <c r="D33" i="9"/>
  <c r="D34" i="9"/>
  <c r="D35" i="9"/>
  <c r="D36" i="9"/>
  <c r="B9" i="9"/>
  <c r="B39" i="9"/>
  <c r="B138" i="9"/>
  <c r="B137" i="9"/>
  <c r="B136" i="9"/>
  <c r="B135" i="9"/>
  <c r="B134" i="9"/>
  <c r="B133" i="9"/>
  <c r="B132" i="9"/>
  <c r="B131" i="9"/>
  <c r="B130" i="9"/>
  <c r="B115" i="9"/>
  <c r="B114" i="9"/>
  <c r="B109" i="9"/>
  <c r="B108" i="9"/>
  <c r="B107" i="9"/>
  <c r="B92" i="9"/>
  <c r="B91" i="9"/>
  <c r="B90" i="9"/>
  <c r="B89" i="9"/>
  <c r="B88" i="9"/>
  <c r="B87" i="9"/>
  <c r="B86" i="9"/>
  <c r="B85" i="9"/>
  <c r="B84" i="9"/>
  <c r="B69" i="9"/>
  <c r="B68" i="9"/>
  <c r="B67" i="9"/>
  <c r="B66" i="9"/>
  <c r="B65" i="9"/>
  <c r="B64" i="9"/>
  <c r="B63" i="9"/>
  <c r="B62" i="9"/>
  <c r="B61" i="9"/>
  <c r="B46" i="9"/>
  <c r="B45" i="9"/>
  <c r="B44" i="9"/>
  <c r="B43" i="9"/>
  <c r="B42" i="9"/>
  <c r="B41" i="9"/>
  <c r="B40" i="9"/>
  <c r="B38" i="9"/>
  <c r="B23" i="9"/>
  <c r="B22" i="9"/>
  <c r="B21" i="9"/>
  <c r="B20" i="9"/>
  <c r="B19" i="9"/>
  <c r="B18" i="9"/>
  <c r="B17" i="9"/>
  <c r="B16" i="9"/>
  <c r="B15" i="9"/>
  <c r="D122" i="9"/>
  <c r="B128" i="9"/>
  <c r="B127" i="9"/>
  <c r="B126" i="9"/>
  <c r="B125" i="9"/>
  <c r="B124" i="9"/>
  <c r="B123" i="9"/>
  <c r="B122" i="9"/>
  <c r="B121" i="9"/>
  <c r="B120" i="9"/>
  <c r="B119" i="9"/>
  <c r="B118" i="9"/>
  <c r="B105" i="9"/>
  <c r="B104" i="9"/>
  <c r="B103" i="9"/>
  <c r="B102" i="9"/>
  <c r="B101" i="9"/>
  <c r="B100" i="9"/>
  <c r="B99" i="9"/>
  <c r="B98" i="9"/>
  <c r="B97" i="9"/>
  <c r="B96" i="9"/>
  <c r="B95" i="9"/>
  <c r="B82" i="9"/>
  <c r="B81" i="9"/>
  <c r="B80" i="9"/>
  <c r="B79" i="9"/>
  <c r="B78" i="9"/>
  <c r="B77" i="9"/>
  <c r="B76" i="9"/>
  <c r="B75" i="9"/>
  <c r="B74" i="9"/>
  <c r="B73" i="9"/>
  <c r="B72" i="9"/>
  <c r="B59" i="9"/>
  <c r="B58" i="9"/>
  <c r="B57" i="9"/>
  <c r="B56" i="9"/>
  <c r="B55" i="9"/>
  <c r="B54" i="9"/>
  <c r="B53" i="9"/>
  <c r="B52" i="9"/>
  <c r="B51" i="9"/>
  <c r="B50" i="9"/>
  <c r="B49" i="9"/>
  <c r="B36" i="9"/>
  <c r="B35" i="9"/>
  <c r="B34" i="9"/>
  <c r="B33" i="9"/>
  <c r="B32" i="9"/>
  <c r="B31" i="9"/>
  <c r="B30" i="9"/>
  <c r="B29" i="9"/>
  <c r="B28" i="9"/>
  <c r="B27" i="9"/>
  <c r="B26" i="9"/>
  <c r="B13" i="9"/>
  <c r="B12" i="9"/>
  <c r="B11" i="9"/>
  <c r="B10" i="9"/>
  <c r="B8" i="9"/>
  <c r="B7" i="9"/>
  <c r="B6" i="9"/>
  <c r="B5" i="9"/>
  <c r="B4" i="9"/>
  <c r="B3" i="9"/>
  <c r="D119" i="9"/>
  <c r="D120" i="9"/>
  <c r="D121" i="9"/>
  <c r="D123" i="9"/>
  <c r="D124" i="9"/>
  <c r="D125" i="9"/>
  <c r="D126" i="9"/>
  <c r="D127" i="9"/>
  <c r="D128" i="9"/>
  <c r="D118" i="9"/>
  <c r="D105" i="9"/>
  <c r="D104" i="9"/>
  <c r="D103" i="9"/>
  <c r="D102" i="9"/>
  <c r="D101" i="9"/>
  <c r="D100" i="9"/>
  <c r="D99" i="9"/>
  <c r="D98" i="9"/>
  <c r="D97" i="9"/>
  <c r="D96" i="9"/>
  <c r="D95" i="9"/>
  <c r="D73" i="9"/>
  <c r="D74" i="9"/>
  <c r="D75" i="9"/>
  <c r="D76" i="9"/>
  <c r="D77" i="9"/>
  <c r="D78" i="9"/>
  <c r="D79" i="9"/>
  <c r="D80" i="9"/>
  <c r="D81" i="9"/>
  <c r="D82" i="9"/>
  <c r="D72" i="9"/>
  <c r="D50" i="9"/>
  <c r="D51" i="9"/>
  <c r="D52" i="9"/>
  <c r="D53" i="9"/>
  <c r="D54" i="9"/>
  <c r="D55" i="9"/>
  <c r="D56" i="9"/>
  <c r="D57" i="9"/>
  <c r="D58" i="9"/>
  <c r="D59" i="9"/>
  <c r="D49" i="9"/>
  <c r="E50" i="9" l="1" a="1"/>
  <c r="E50" i="9" s="1"/>
  <c r="E70" i="9" s="1"/>
  <c r="D3" i="9"/>
  <c r="E34" i="9" a="1"/>
  <c r="E34" i="9" s="1"/>
  <c r="E47" i="9" s="1"/>
  <c r="E139" i="9"/>
  <c r="E116" i="9"/>
  <c r="E93" i="9"/>
  <c r="E24" i="9" l="1"/>
  <c r="I4" i="9" l="1"/>
  <c r="I8" i="9"/>
  <c r="H5" i="9" a="1"/>
  <c r="H5" i="9" s="1"/>
  <c r="I5" i="9"/>
  <c r="I3" i="9"/>
  <c r="H3" i="9" a="1"/>
  <c r="H3" i="9" s="1"/>
  <c r="I6" i="9"/>
  <c r="H8" i="9" a="1"/>
  <c r="H8" i="9" s="1"/>
  <c r="H6" i="9" a="1"/>
  <c r="H6" i="9" s="1"/>
  <c r="I7" i="9"/>
  <c r="H4" i="9" a="1"/>
  <c r="H4" i="9" s="1"/>
  <c r="H7" i="9" a="1"/>
  <c r="H7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<sst xmlns="http://schemas.openxmlformats.org/spreadsheetml/2006/main" count="257" uniqueCount="161">
  <si>
    <t>Giornata 22</t>
  </si>
  <si>
    <t>Toro Loco</t>
  </si>
  <si>
    <t>Por</t>
  </si>
  <si>
    <t>Carnesecchi</t>
  </si>
  <si>
    <t>Ds;E</t>
  </si>
  <si>
    <t>Angelino</t>
  </si>
  <si>
    <t>Dc</t>
  </si>
  <si>
    <t>De Vrij</t>
  </si>
  <si>
    <t>Rrahmani</t>
  </si>
  <si>
    <t>Dd;E</t>
  </si>
  <si>
    <t>Di Lorenzo</t>
  </si>
  <si>
    <t>C</t>
  </si>
  <si>
    <t>Reijnders</t>
  </si>
  <si>
    <t>M;C</t>
  </si>
  <si>
    <t>Ederson</t>
  </si>
  <si>
    <t>De Roon</t>
  </si>
  <si>
    <t>Paz</t>
  </si>
  <si>
    <t>Pc</t>
  </si>
  <si>
    <t>Kean</t>
  </si>
  <si>
    <t>Thuram M.</t>
  </si>
  <si>
    <t>TOTALE</t>
  </si>
  <si>
    <t>Hellas Madonna Next Gen</t>
  </si>
  <si>
    <t>Sommer</t>
  </si>
  <si>
    <t>Savona</t>
  </si>
  <si>
    <t>Dd,Dc</t>
  </si>
  <si>
    <t>De Winter</t>
  </si>
  <si>
    <t>Comuzzo</t>
  </si>
  <si>
    <t>E</t>
  </si>
  <si>
    <t>Bellanova</t>
  </si>
  <si>
    <t>Thuram K.</t>
  </si>
  <si>
    <t>W</t>
  </si>
  <si>
    <t>Ndoye</t>
  </si>
  <si>
    <t>C;T</t>
  </si>
  <si>
    <t>Fazzini</t>
  </si>
  <si>
    <t>Maldini</t>
  </si>
  <si>
    <t>A</t>
  </si>
  <si>
    <t>De Ketelaere</t>
  </si>
  <si>
    <t>Bonny</t>
  </si>
  <si>
    <t>Internacional Porco Allegri</t>
  </si>
  <si>
    <t>Di Gregorio</t>
  </si>
  <si>
    <t>Buongiorno</t>
  </si>
  <si>
    <t>Mancini</t>
  </si>
  <si>
    <t>Bijol</t>
  </si>
  <si>
    <t>Spinazzola</t>
  </si>
  <si>
    <t>Brescianini</t>
  </si>
  <si>
    <t>McTominay</t>
  </si>
  <si>
    <t>Gosens</t>
  </si>
  <si>
    <t>W;A</t>
  </si>
  <si>
    <t>Neres</t>
  </si>
  <si>
    <t>Gudmundsson A.</t>
  </si>
  <si>
    <t>Dovbyk</t>
  </si>
  <si>
    <t>AS MANTRAppata</t>
  </si>
  <si>
    <t>Meret</t>
  </si>
  <si>
    <t>Ds;Dc</t>
  </si>
  <si>
    <t>Ranieri L.</t>
  </si>
  <si>
    <t>Dd;DC</t>
  </si>
  <si>
    <t>Pavard</t>
  </si>
  <si>
    <t>Baschirotto</t>
  </si>
  <si>
    <t>Douglas Luiz</t>
  </si>
  <si>
    <t>Hernandez T.</t>
  </si>
  <si>
    <t>Freuler</t>
  </si>
  <si>
    <t>Zambo Anguissa</t>
  </si>
  <si>
    <t>Weah</t>
  </si>
  <si>
    <t>Martinez L.</t>
  </si>
  <si>
    <t>Lukaku</t>
  </si>
  <si>
    <t>sleal madrink</t>
  </si>
  <si>
    <t>De Gea</t>
  </si>
  <si>
    <t>Vasquez</t>
  </si>
  <si>
    <t>Romagnoli</t>
  </si>
  <si>
    <t>Bastoni</t>
  </si>
  <si>
    <t>Ruggeri</t>
  </si>
  <si>
    <t>Dimarco</t>
  </si>
  <si>
    <t>Barella</t>
  </si>
  <si>
    <t>Calhanoglu</t>
  </si>
  <si>
    <t>Zaccagni</t>
  </si>
  <si>
    <t>Dia</t>
  </si>
  <si>
    <t>Leao</t>
  </si>
  <si>
    <t>Bayern NeverGioien</t>
  </si>
  <si>
    <t>Falcone</t>
  </si>
  <si>
    <t>Gatti</t>
  </si>
  <si>
    <t>Hien</t>
  </si>
  <si>
    <t>Beukema</t>
  </si>
  <si>
    <t>Miranda</t>
  </si>
  <si>
    <t>Pasalic</t>
  </si>
  <si>
    <t>Mkhitaryan</t>
  </si>
  <si>
    <t>Dodò</t>
  </si>
  <si>
    <t>T</t>
  </si>
  <si>
    <t>Koopmeiners</t>
  </si>
  <si>
    <t>Dallinga</t>
  </si>
  <si>
    <t>Retegui</t>
  </si>
  <si>
    <t>Panchina</t>
  </si>
  <si>
    <t>Rui Patricio</t>
  </si>
  <si>
    <t>Djimsiti</t>
  </si>
  <si>
    <t>Gigot</t>
  </si>
  <si>
    <t>Suslov</t>
  </si>
  <si>
    <t>Zortea</t>
  </si>
  <si>
    <t>Dd;Ds;E</t>
  </si>
  <si>
    <t>Valeri</t>
  </si>
  <si>
    <t>Zanoli</t>
  </si>
  <si>
    <t>Lucca</t>
  </si>
  <si>
    <t>Frendrup</t>
  </si>
  <si>
    <t>Samardzic</t>
  </si>
  <si>
    <t>W; A</t>
  </si>
  <si>
    <t>Isaksen</t>
  </si>
  <si>
    <t>C; T</t>
  </si>
  <si>
    <t>Dele-Bashiru</t>
  </si>
  <si>
    <t>Zielinski</t>
  </si>
  <si>
    <t>Dossena</t>
  </si>
  <si>
    <t>Provedel</t>
  </si>
  <si>
    <t>Koné M.</t>
  </si>
  <si>
    <t>Ds</t>
  </si>
  <si>
    <t>Dd</t>
  </si>
  <si>
    <t>Vlahovic</t>
  </si>
  <si>
    <t>Bernabé</t>
  </si>
  <si>
    <t>Zappacosta</t>
  </si>
  <si>
    <t>Darmian</t>
  </si>
  <si>
    <t>Kolasinac</t>
  </si>
  <si>
    <t>Ndicka</t>
  </si>
  <si>
    <t>Dd; E</t>
  </si>
  <si>
    <t>Pro</t>
  </si>
  <si>
    <t>Maignan</t>
  </si>
  <si>
    <t>Conceicao</t>
  </si>
  <si>
    <t>Pinamonti</t>
  </si>
  <si>
    <t>E; M; C</t>
  </si>
  <si>
    <t>De Sciglio</t>
  </si>
  <si>
    <t>Ds; E</t>
  </si>
  <si>
    <t>Fagioli</t>
  </si>
  <si>
    <t>Pellegrini</t>
  </si>
  <si>
    <t>T; C</t>
  </si>
  <si>
    <t>Skorupski</t>
  </si>
  <si>
    <t>Yildiz</t>
  </si>
  <si>
    <t>Fabbian</t>
  </si>
  <si>
    <t>Zurkowski</t>
  </si>
  <si>
    <t>Olivera</t>
  </si>
  <si>
    <t>Dybala</t>
  </si>
  <si>
    <t>Pulisic</t>
  </si>
  <si>
    <t>T; A</t>
  </si>
  <si>
    <t>Colpani</t>
  </si>
  <si>
    <t>Tavares</t>
  </si>
  <si>
    <t>Casale</t>
  </si>
  <si>
    <t>Mbangoula</t>
  </si>
  <si>
    <t>Ricci</t>
  </si>
  <si>
    <t>W; T</t>
  </si>
  <si>
    <t>Coppola D.</t>
  </si>
  <si>
    <t>Soule'</t>
  </si>
  <si>
    <t>Viti</t>
  </si>
  <si>
    <t>Pizzignacco</t>
  </si>
  <si>
    <t>Milinkovic-Savic V.</t>
  </si>
  <si>
    <t>Castellanos</t>
  </si>
  <si>
    <t>Abraham</t>
  </si>
  <si>
    <t>Guilbert</t>
  </si>
  <si>
    <t>Ds; Dd; E</t>
  </si>
  <si>
    <t>Coco</t>
  </si>
  <si>
    <t>1°</t>
  </si>
  <si>
    <t>2°</t>
  </si>
  <si>
    <t>3°</t>
  </si>
  <si>
    <t>4°</t>
  </si>
  <si>
    <t>5°</t>
  </si>
  <si>
    <t>6°</t>
  </si>
  <si>
    <t>Squadra</t>
  </si>
  <si>
    <t>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</si>
</sst>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3" xfId="0" applyBorder="1"/>
    <xf numFmtId="0" fontId="2" fillId="0" borderId="3" xfId="0" applyFont="1" applyBorder="1"/>
    <xf numFmtId="0" fontId="0" fillId="0" borderId="5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1" fillId="2" borderId="8" xfId="0" applyFont="1" applyFill="1" applyBorder="1"/>
    <xf numFmtId="0" fontId="2" fillId="2" borderId="8" xfId="0" applyFont="1" applyFill="1" applyBorder="1"/>
    <xf numFmtId="0" fontId="2" fillId="2" borderId="0" xfId="0" applyFont="1" applyFill="1"/>
    <xf numFmtId="0" fontId="1" fillId="2" borderId="0" xfId="0" applyFont="1" applyFill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5" borderId="11" xfId="0" applyFill="1" applyBorder="1"/>
    <xf numFmtId="0" fontId="0" fillId="4" borderId="14" xfId="0" applyFill="1" applyBorder="1"/>
    <xf numFmtId="0" fontId="0" fillId="4" borderId="10" xfId="0" applyFill="1" applyBorder="1"/>
    <xf numFmtId="0" fontId="0" fillId="4" borderId="15" xfId="0" applyFill="1" applyBorder="1"/>
    <xf numFmtId="0" fontId="0" fillId="6" borderId="14" xfId="0" applyFill="1" applyBorder="1"/>
    <xf numFmtId="0" fontId="0" fillId="6" borderId="10" xfId="0" applyFill="1" applyBorder="1"/>
    <xf numFmtId="0" fontId="0" fillId="6" borderId="15" xfId="0" applyFill="1" applyBorder="1"/>
    <xf numFmtId="0" fontId="0" fillId="7" borderId="14" xfId="0" applyFill="1" applyBorder="1"/>
    <xf numFmtId="0" fontId="0" fillId="7" borderId="10" xfId="0" applyFill="1" applyBorder="1"/>
    <xf numFmtId="0" fontId="0" fillId="7" borderId="15" xfId="0" applyFill="1" applyBorder="1"/>
    <xf numFmtId="0" fontId="1" fillId="2" borderId="8" xfId="0" applyFont="1" applyFill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1" fillId="2" borderId="0" xfId="0" applyFont="1" applyFill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3" borderId="2" xfId="0" applyFill="1" applyBorder="1" applyAlignment="1">
      <alignment horizontal="center"/>
    </xf>
  </cellXfs>
  <cellStyles count="1">
    <cellStyle name="Normale" xfId="0" builtinId="0"/>
  </cellStyles>
  <dxfs count="12"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ddy\OneDrive\Desktop\Fantacalcio\Documenti%20utili\Slu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8cbbf4999f858e8/Desktop/Fantacalcio/Calcolo/Calcolo%20GW%2022%20-%20Punteggi.xlsx" TargetMode="External"/><Relationship Id="rId1" Type="http://schemas.openxmlformats.org/officeDocument/2006/relationships/externalLinkPath" Target="Calcolo%20GW%2022%20-%20Puntegg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1"/>
    </sheetNames>
    <sheetDataSet>
      <sheetData sheetId="0">
        <row r="1">
          <cell r="A1" t="str">
            <v>Gicoatore</v>
          </cell>
          <cell r="B1" t="str">
            <v>Stringa ricerca API</v>
          </cell>
        </row>
        <row r="2">
          <cell r="A2" t="str">
            <v>Carnesecchi</v>
          </cell>
          <cell r="B2" t="str">
            <v>    {"name": "Carnesecchi", "slug": "marco-carnesecchi", "role": "GK"},</v>
          </cell>
        </row>
        <row r="3">
          <cell r="A3" t="str">
            <v>Angelino</v>
          </cell>
          <cell r="B3" t="str">
            <v>    {"name": "Angelino", "slug": "jose-angel-esmoris-tasende", "role": "DF"},</v>
          </cell>
        </row>
        <row r="4">
          <cell r="A4" t="str">
            <v>De Vrij</v>
          </cell>
          <cell r="B4" t="str">
            <v>    {"name": "De Vrij", "slug": "stefan-de-vrij", "role": "DF"},</v>
          </cell>
        </row>
        <row r="5">
          <cell r="A5" t="str">
            <v>Rrahmani</v>
          </cell>
          <cell r="B5" t="str">
            <v>    {"name": "Rrahmani", "slug": "amir-rrahmani", "role": "DF"},</v>
          </cell>
        </row>
        <row r="6">
          <cell r="A6" t="str">
            <v>Di Lorenzo</v>
          </cell>
          <cell r="B6" t="str">
            <v>    {"name": "Di Lorenzo", "slug": "giovanni-di-lorenzo", "role": "DF"},</v>
          </cell>
        </row>
        <row r="7">
          <cell r="A7" t="str">
            <v>Reijnders</v>
          </cell>
          <cell r="B7" t="str">
            <v>    {"name": "Reijnders", "slug": "tijjani-reijnders", "role": "MF"},</v>
          </cell>
        </row>
        <row r="8">
          <cell r="A8" t="str">
            <v>Ederson</v>
          </cell>
          <cell r="B8" t="str">
            <v>    {"name": "Ederson", "slug": "ederson-jose-dos-santos-lourenco-da-silva", "role": "MF"},</v>
          </cell>
        </row>
        <row r="9">
          <cell r="A9" t="str">
            <v>De Roon</v>
          </cell>
          <cell r="B9" t="str">
            <v>    {"name": "De Roon", "slug": "marten-de-roon", "role": "MF"},</v>
          </cell>
        </row>
        <row r="10">
          <cell r="A10" t="str">
            <v>Paz</v>
          </cell>
          <cell r="B10" t="str">
            <v>    {"name": "Paz", "slug": "nicolas-paz-martinez", "role": "MF"},</v>
          </cell>
        </row>
        <row r="11">
          <cell r="A11" t="str">
            <v>Kean</v>
          </cell>
          <cell r="B11" t="str">
            <v>    {"name": "Kean", "slug": "moise-bioty-kean", "role": "FW"},</v>
          </cell>
        </row>
        <row r="12">
          <cell r="A12" t="str">
            <v>Thuram M.</v>
          </cell>
          <cell r="B12" t="str">
            <v>    {"name": "Thuram M.", "slug": "marcus-thuram", "role": "FW"},</v>
          </cell>
        </row>
        <row r="13">
          <cell r="A13" t="str">
            <v>Sommer</v>
          </cell>
          <cell r="B13" t="str">
            <v>    {"name": "Sommer", "slug": "yann-sommer", "role": "GK"},</v>
          </cell>
        </row>
        <row r="14">
          <cell r="A14" t="str">
            <v>Savona</v>
          </cell>
          <cell r="B14" t="str">
            <v>    {"name": "Savona", "slug": "nicolo-savona", "role": "DF"},</v>
          </cell>
        </row>
        <row r="15">
          <cell r="A15" t="str">
            <v>De Winter</v>
          </cell>
          <cell r="B15" t="str">
            <v>    {"name": "De Winter", "slug": "koni-de-winter", "role": "DF"},</v>
          </cell>
        </row>
        <row r="16">
          <cell r="A16" t="str">
            <v>Comuzzo</v>
          </cell>
          <cell r="B16" t="str">
            <v>    {"name": "Comuzzo", "slug": "pietro-comuzzo", "role": "DF"},</v>
          </cell>
        </row>
        <row r="17">
          <cell r="A17" t="str">
            <v>Bellanova</v>
          </cell>
          <cell r="B17" t="str">
            <v>    {"name": "Bellanova", "slug": "raoul-bellanova", "role": "DF"},</v>
          </cell>
        </row>
        <row r="18">
          <cell r="A18" t="str">
            <v>Thuram K.</v>
          </cell>
          <cell r="B18" t="str">
            <v>    {"name": "Thuram K.", "slug": "khephren-thuram-ulien", "role": "MF"},</v>
          </cell>
        </row>
        <row r="19">
          <cell r="A19" t="str">
            <v>Ndoye</v>
          </cell>
          <cell r="B19" t="str">
            <v>    {"name": "Ndoye", "slug": "dan-ndoye", "role": "MF"},</v>
          </cell>
        </row>
        <row r="20">
          <cell r="A20" t="str">
            <v>Fazzini</v>
          </cell>
          <cell r="B20" t="str">
            <v>    {"name": "Fazzini", "slug": "jacopo-fazzini", "role": "MF"},</v>
          </cell>
        </row>
        <row r="21">
          <cell r="A21" t="str">
            <v>Maldini</v>
          </cell>
          <cell r="B21" t="str">
            <v>    {"name": "Maldini", "slug": "daniel-maldini", "role": "MF"},</v>
          </cell>
        </row>
        <row r="22">
          <cell r="A22" t="str">
            <v>De Ketelaere</v>
          </cell>
          <cell r="B22" t="str">
            <v>    {"name": "De Ketelaere", "slug": "charles-de-ketelaere", "role": "MF"},</v>
          </cell>
        </row>
        <row r="23">
          <cell r="A23" t="str">
            <v>Bonny</v>
          </cell>
          <cell r="B23" t="str">
            <v>    {"name": "Bonny", "slug": "ange-yoan-bonny", "role": "FW"},</v>
          </cell>
        </row>
        <row r="24">
          <cell r="A24" t="str">
            <v>Di Gregorio</v>
          </cell>
          <cell r="B24" t="str">
            <v>    {"name": "Di Gregorio", "slug": "michele-di-gregorio", "role": "GK"},</v>
          </cell>
        </row>
        <row r="25">
          <cell r="A25" t="str">
            <v>Buongiorno</v>
          </cell>
          <cell r="B25" t="str">
            <v>    {"name": "Buongiorno", "slug": "alessandro-buongiorno", "role": "DF"},</v>
          </cell>
        </row>
        <row r="26">
          <cell r="A26" t="str">
            <v>Mancini</v>
          </cell>
          <cell r="B26" t="str">
            <v>    {"name": "Mancini", "slug": "gianluca-mancini", "role": "DF"},</v>
          </cell>
        </row>
        <row r="27">
          <cell r="A27" t="str">
            <v>Bijol</v>
          </cell>
          <cell r="B27" t="str">
            <v>    {"name": "Bijol", "slug": "jaka-bijol", "role": "DF"},</v>
          </cell>
        </row>
        <row r="28">
          <cell r="A28" t="str">
            <v>Spinazzola</v>
          </cell>
          <cell r="B28" t="str">
            <v>    {"name": "Spinazzola", "slug": "leonardo-spinazzola", "role": "DF"},</v>
          </cell>
        </row>
        <row r="29">
          <cell r="A29" t="str">
            <v>Brescianini</v>
          </cell>
          <cell r="B29" t="str">
            <v>    {"name": "Brescianini", "slug": "marco-brescianini", "role": "MF"},</v>
          </cell>
        </row>
        <row r="30">
          <cell r="A30" t="str">
            <v>McTominay</v>
          </cell>
          <cell r="B30" t="str">
            <v>    {"name": "McTominay", "slug": "scott-mctominay", "role": "MF"},</v>
          </cell>
        </row>
        <row r="31">
          <cell r="A31" t="str">
            <v>Gosens</v>
          </cell>
          <cell r="B31" t="str">
            <v>    {"name": "Gosens", "slug": "robin-gosens", "role": "DF"},</v>
          </cell>
        </row>
        <row r="32">
          <cell r="A32" t="str">
            <v>Neres</v>
          </cell>
          <cell r="B32" t="str">
            <v>    {"name": "Neres", "slug": "david-neres-campos", "role": "FW"},</v>
          </cell>
        </row>
        <row r="33">
          <cell r="A33" t="str">
            <v>Gudmundsson A.</v>
          </cell>
          <cell r="B33" t="str">
            <v>    {"name": "Gudmundsson A.", "slug": "albert-gudmundsson", "role": "FW"},</v>
          </cell>
        </row>
        <row r="34">
          <cell r="A34" t="str">
            <v>Dovbyk</v>
          </cell>
          <cell r="B34" t="str">
            <v>    {"name": "Dovbyk", "slug": "artem-dovbyk", "role": "FW"},</v>
          </cell>
        </row>
        <row r="35">
          <cell r="A35" t="str">
            <v>Meret</v>
          </cell>
          <cell r="B35" t="str">
            <v>    {"name": "Meret", "slug": "alex-meret", "role": "GK"},</v>
          </cell>
        </row>
        <row r="36">
          <cell r="A36" t="str">
            <v>Ranieri L.</v>
          </cell>
          <cell r="B36" t="str">
            <v>    {"name": "Ranieri L.", "slug": "luca-ranieri", "role": "DF"},</v>
          </cell>
        </row>
        <row r="37">
          <cell r="A37" t="str">
            <v>Pavard</v>
          </cell>
          <cell r="B37" t="str">
            <v>    {"name": "Pavard", "slug": "benjamin-pavard", "role": "DF"},</v>
          </cell>
        </row>
        <row r="38">
          <cell r="A38" t="str">
            <v>Baschirotto</v>
          </cell>
          <cell r="B38" t="str">
            <v>    {"name": "Baschirotto", "slug": "federico-baschirotto", "role": "DF"},</v>
          </cell>
        </row>
        <row r="39">
          <cell r="A39" t="str">
            <v>Douglas Luiz</v>
          </cell>
          <cell r="B39" t="str">
            <v>    {"name": "Douglas Luiz", "slug": "douglas-luiz-soares-de-paulo", "role": "MF"},</v>
          </cell>
        </row>
        <row r="40">
          <cell r="A40" t="str">
            <v>Hernandez T.</v>
          </cell>
          <cell r="B40" t="str">
            <v>    {"name": "Hernandez T.", "slug": "theo-bernard-francois-hernandez", "role": "DF"},</v>
          </cell>
        </row>
        <row r="41">
          <cell r="A41" t="str">
            <v>Freuler</v>
          </cell>
          <cell r="B41" t="str">
            <v>    {"name": "Freuler", "slug": "remo-freuler", "role": "MF"},</v>
          </cell>
        </row>
        <row r="42">
          <cell r="A42" t="str">
            <v>Zambo Anguissa</v>
          </cell>
          <cell r="B42" t="str">
            <v>    {"name": "Zambo Anguissa", "slug": "andre-frank-zambo-anguissa", "role": "MF"},</v>
          </cell>
        </row>
        <row r="43">
          <cell r="A43" t="str">
            <v>Weah</v>
          </cell>
          <cell r="B43" t="str">
            <v>    {"name": "Weah", "slug": "timothy-weah", "role": "FW"},</v>
          </cell>
        </row>
        <row r="44">
          <cell r="A44" t="str">
            <v>Martinez L.</v>
          </cell>
          <cell r="B44" t="str">
            <v>    {"name": "Martinez L.", "slug": "lautaro-javier-martinez", "role": "FW"},</v>
          </cell>
        </row>
        <row r="45">
          <cell r="A45" t="str">
            <v>Lukaku</v>
          </cell>
          <cell r="B45" t="str">
            <v>    {"name": "Lukaku", "slug": "romelu-lukaku-menama", "role": "FW"},</v>
          </cell>
        </row>
        <row r="46">
          <cell r="A46" t="str">
            <v>De Gea</v>
          </cell>
          <cell r="B46" t="str">
            <v>    {"name": "De Gea", "slug": "david-de-gea-quintana", "role": "GK"},</v>
          </cell>
        </row>
        <row r="47">
          <cell r="A47" t="str">
            <v>Vasquez</v>
          </cell>
          <cell r="B47" t="str">
            <v>    {"name": "Vasquez", "slug": "johan-felipe-vasquez-ibarra", "role": "DF"},</v>
          </cell>
        </row>
        <row r="48">
          <cell r="A48" t="str">
            <v>Romagnoli</v>
          </cell>
          <cell r="B48" t="str">
            <v>    {"name": "Romagnoli", "slug": "alessio-romagnoli", "role": "DF"},</v>
          </cell>
        </row>
        <row r="49">
          <cell r="A49" t="str">
            <v>Bastoni</v>
          </cell>
          <cell r="B49" t="str">
            <v>    {"name": "Bastoni", "slug": "alessandro-bastoni", "role": "DF"},</v>
          </cell>
        </row>
        <row r="50">
          <cell r="A50" t="str">
            <v>Ruggeri</v>
          </cell>
          <cell r="B50" t="str">
            <v>    {"name": "Ruggeri", "slug": "matteo-ruggeri", "role": "DF"},</v>
          </cell>
        </row>
        <row r="51">
          <cell r="A51" t="str">
            <v>Dimarco</v>
          </cell>
          <cell r="B51" t="str">
            <v>    {"name": "Dimarco", "slug": "federico-dimarco", "role": "DF"},</v>
          </cell>
        </row>
        <row r="52">
          <cell r="A52" t="str">
            <v>Barella</v>
          </cell>
          <cell r="B52" t="str">
            <v>    {"name": "Barella", "slug": "nicolo-barella", "role": "MF"},</v>
          </cell>
        </row>
        <row r="53">
          <cell r="A53" t="str">
            <v>Calhanoglu</v>
          </cell>
          <cell r="B53" t="str">
            <v>    {"name": "Calhanoglu", "slug": "hakan-calhanoglu", "role": "MF"},</v>
          </cell>
        </row>
        <row r="54">
          <cell r="A54" t="str">
            <v>Zaccagni</v>
          </cell>
          <cell r="B54" t="str">
            <v>    {"name": "Zaccagni", "slug": "mattia-zaccagni", "role": "FW"},</v>
          </cell>
        </row>
        <row r="55">
          <cell r="A55" t="str">
            <v>Dia</v>
          </cell>
          <cell r="B55" t="str">
            <v>    {"name": "Dia", "slug": "boulaye-dia", "role": "FW"},</v>
          </cell>
        </row>
        <row r="56">
          <cell r="A56" t="str">
            <v>Leao</v>
          </cell>
          <cell r="B56" t="str">
            <v>    {"name": "Leao", "slug": "rafael-alexandre-conceicao-leao", "role": "FW"},</v>
          </cell>
        </row>
        <row r="57">
          <cell r="A57" t="str">
            <v>Falcone</v>
          </cell>
          <cell r="B57" t="str">
            <v>    {"name": "Falcone", "slug": "wladimiro-falcone", "role": "GK"},</v>
          </cell>
        </row>
        <row r="58">
          <cell r="A58" t="str">
            <v>Gatti</v>
          </cell>
          <cell r="B58" t="str">
            <v>    {"name": "Gatti", "slug": "federico-gatti", "role": "DF"},</v>
          </cell>
        </row>
        <row r="59">
          <cell r="A59" t="str">
            <v>Hien</v>
          </cell>
          <cell r="B59" t="str">
            <v>    {"name": "Hien", "slug": "isak-hien", "role": "DF"},</v>
          </cell>
        </row>
        <row r="60">
          <cell r="A60" t="str">
            <v>Beukema</v>
          </cell>
          <cell r="B60" t="str">
            <v>    {"name": "Beukema", "slug": "sam-beukema", "role": "DF"},</v>
          </cell>
        </row>
        <row r="61">
          <cell r="A61" t="str">
            <v>Miranda</v>
          </cell>
          <cell r="B61" t="str">
            <v>    {"name": "Miranda", "slug": "juan-miranda-gonzalez", "role": "DF"},</v>
          </cell>
        </row>
        <row r="62">
          <cell r="A62" t="str">
            <v>Pasalic</v>
          </cell>
          <cell r="B62" t="str">
            <v>    {"name": "Pasalic", "slug": "mario-pasalic", "role": "MF"},</v>
          </cell>
        </row>
        <row r="63">
          <cell r="A63" t="str">
            <v>Mkhitaryan</v>
          </cell>
          <cell r="B63" t="str">
            <v>    {"name": "Mkhitaryan", "slug": "henrikh-mkhitaryan", "role": "MF"},</v>
          </cell>
        </row>
        <row r="64">
          <cell r="A64" t="str">
            <v>Dodò</v>
          </cell>
          <cell r="B64" t="str">
            <v>    {"name": "Dodò", "slug": "domilson-cordeiro-dos-santos", "role": "DF"},</v>
          </cell>
        </row>
        <row r="65">
          <cell r="A65" t="str">
            <v>Koopmeiners</v>
          </cell>
          <cell r="B65" t="str">
            <v>    {"name": "Koopmeiners", "slug": "teun-koopmeiners", "role": "MF"},</v>
          </cell>
        </row>
        <row r="66">
          <cell r="A66" t="str">
            <v>Dallinga</v>
          </cell>
          <cell r="B66" t="str">
            <v>    {"name": "Dallinga", "slug": "thijs-dallinga", "role": "FW"},</v>
          </cell>
        </row>
        <row r="67">
          <cell r="A67" t="str">
            <v>Retegui</v>
          </cell>
          <cell r="B67" t="str">
            <v>    {"name": "Retegui", "slug": "mateo-retegui", "role": "FW"},</v>
          </cell>
        </row>
        <row r="68">
          <cell r="A68" t="str">
            <v>Vlahovic</v>
          </cell>
          <cell r="B68" t="str">
            <v>    {"name": "Vlahovic", "slug": "dusan-vlahovic", "role": "FW"},</v>
          </cell>
        </row>
        <row r="69">
          <cell r="A69" t="str">
            <v>Zielinski</v>
          </cell>
          <cell r="B69" t="str">
            <v>    {"name": "Zielinski", "slug": "piotr-zielinski", "role": "MF"},</v>
          </cell>
        </row>
        <row r="70">
          <cell r="A70" t="str">
            <v>Bernabé</v>
          </cell>
          <cell r="B70" t="str">
            <v>    {"name": "Bernabé", "slug": "adrian-bernabe-garcia", "role": "MF"},</v>
          </cell>
        </row>
        <row r="71">
          <cell r="A71" t="str">
            <v>Zappacosta</v>
          </cell>
          <cell r="B71" t="str">
            <v>    {"name": "Zappacosta", "slug": "davide-zappacosta", "role": "DF"},</v>
          </cell>
        </row>
        <row r="72">
          <cell r="A72" t="str">
            <v>Darmian</v>
          </cell>
          <cell r="B72" t="str">
            <v>    {"name": "Darmian", "slug": "matteo-darmian", "role": "DF"},</v>
          </cell>
        </row>
        <row r="73">
          <cell r="A73" t="str">
            <v>Mazzitelli</v>
          </cell>
          <cell r="B73" t="str">
            <v>    {"name": "Mazzitelli", "slug": "luca-mazzitelli", "role": "MF"},</v>
          </cell>
        </row>
        <row r="74">
          <cell r="A74" t="str">
            <v>Kolasinac</v>
          </cell>
          <cell r="B74" t="str">
            <v>    {"name": "Kolasinac", "slug": "sead-kolasinac", "role": "DF"},</v>
          </cell>
        </row>
        <row r="75">
          <cell r="A75" t="str">
            <v>Dossena</v>
          </cell>
          <cell r="B75" t="str">
            <v>    {"name": "Dossena", "slug": "alberto-dossena", "role": "DF"},</v>
          </cell>
        </row>
        <row r="76">
          <cell r="A76" t="str">
            <v>Pongracic</v>
          </cell>
          <cell r="B76" t="str">
            <v>    {"name": "Pongracic", "slug": "marin-pongracic", "role": "DF"},</v>
          </cell>
        </row>
        <row r="77">
          <cell r="A77" t="str">
            <v>N'Dicka</v>
          </cell>
          <cell r="B77" t="str">
            <v>    {"name": "N'Dicka", "slug": "obite-evan-n-dicka", "role": "DF"},</v>
          </cell>
        </row>
        <row r="78">
          <cell r="A78" t="str">
            <v>Provedel</v>
          </cell>
          <cell r="B78" t="str">
            <v>    {"name": "Provedel", "slug": "ivan-provedel", "role": "GK"},</v>
          </cell>
        </row>
        <row r="79">
          <cell r="A79" t="str">
            <v>Mandas</v>
          </cell>
          <cell r="B79" t="str">
            <v>    {"name": "Mandas", "slug": "christos-mandas", "role": "GK"},</v>
          </cell>
        </row>
        <row r="80">
          <cell r="A80" t="str">
            <v>Maignan</v>
          </cell>
          <cell r="B80" t="str">
            <v>    {"name": "Maignan", "slug": "mike-maignan", "role": "GK"},</v>
          </cell>
        </row>
        <row r="81">
          <cell r="A81" t="str">
            <v>Lucca</v>
          </cell>
          <cell r="B81" t="str">
            <v>    {"name": "Lucca", "slug": "lorenzo-lucca", "role": "FW"},</v>
          </cell>
        </row>
        <row r="82">
          <cell r="A82" t="str">
            <v>Noslin</v>
          </cell>
          <cell r="B82" t="str">
            <v>    {"name": "Noslin", "slug": "tijanni-noslin", "role": "FW"},</v>
          </cell>
        </row>
        <row r="83">
          <cell r="A83" t="str">
            <v>Conceicao</v>
          </cell>
          <cell r="B83" t="str">
            <v>    {"name": "Conceicao", "slug": "francisco-fernandes-conceicao", "role": "FW"},</v>
          </cell>
        </row>
        <row r="84">
          <cell r="A84" t="str">
            <v>Pinamonti</v>
          </cell>
          <cell r="B84" t="str">
            <v>    {"name": "Pinamonti", "slug": "andrea-pinamonti", "role": "FW"},</v>
          </cell>
        </row>
        <row r="85">
          <cell r="A85" t="str">
            <v>Frendrup</v>
          </cell>
          <cell r="B85" t="str">
            <v>    {"name": "Frendrup", "slug": "morten-frendrup", "role": "MF"},</v>
          </cell>
        </row>
        <row r="86">
          <cell r="A86" t="str">
            <v>Zaniolo</v>
          </cell>
          <cell r="B86" t="str">
            <v>    {"name": "Zaniolo", "slug": "nicolo-zaniolo", "role": "MF"},</v>
          </cell>
        </row>
        <row r="87">
          <cell r="A87" t="str">
            <v>Samardzic</v>
          </cell>
          <cell r="B87" t="str">
            <v>    {"name": "Samardzic", "slug": "lazar-samardzic", "role": "MF"},</v>
          </cell>
        </row>
        <row r="88">
          <cell r="A88" t="str">
            <v>Fagioli</v>
          </cell>
          <cell r="B88" t="str">
            <v>    {"name": "Fagioli", "slug": "nicolo-fagioli", "role": "MF"},</v>
          </cell>
        </row>
        <row r="89">
          <cell r="A89" t="str">
            <v>Pellegrini Lo.</v>
          </cell>
          <cell r="B89" t="str">
            <v>    {"name": "Pellegrini Lo.", "slug": "lorenzo-pellegrini", "role": "MF"},</v>
          </cell>
        </row>
        <row r="90">
          <cell r="A90" t="str">
            <v>De Sciglio</v>
          </cell>
          <cell r="B90" t="str">
            <v>    {"name": "De Sciglio", "slug": "mattia-de-sciglio", "role": "DF"},</v>
          </cell>
        </row>
        <row r="91">
          <cell r="A91" t="str">
            <v>Perin</v>
          </cell>
          <cell r="B91" t="str">
            <v>    {"name": "Perin", "slug": "mattia-perin", "role": "GK"},</v>
          </cell>
        </row>
        <row r="92">
          <cell r="A92" t="str">
            <v>Skorupski</v>
          </cell>
          <cell r="B92" t="str">
            <v>    {"name": "Skorupski", "slug": "lukasz-skorupski", "role": "GK"},</v>
          </cell>
        </row>
        <row r="93">
          <cell r="A93" t="str">
            <v>Yildiz</v>
          </cell>
          <cell r="B93" t="str">
            <v>    {"name": "Yildiz", "slug": "kenan-yildiz", "role": "FW"},</v>
          </cell>
        </row>
        <row r="94">
          <cell r="A94" t="str">
            <v>Gonzalez N.</v>
          </cell>
          <cell r="B94" t="str">
            <v>    {"name": "Gonzalez N.", "slug": "nicolas-ivan-gonzalez", "role": "FW"},</v>
          </cell>
        </row>
        <row r="95">
          <cell r="A95" t="str">
            <v>Krstovic</v>
          </cell>
          <cell r="B95" t="str">
            <v>    {"name": "Krstovic", "slug": "nikola-krstovic", "role": "FW"},</v>
          </cell>
        </row>
        <row r="96">
          <cell r="A96" t="str">
            <v>Valeri</v>
          </cell>
          <cell r="B96" t="str">
            <v>    {"name": "Valeri", "slug": "emanuele-valeri", "role": "DF"},</v>
          </cell>
        </row>
        <row r="97">
          <cell r="A97" t="str">
            <v>Olivera</v>
          </cell>
          <cell r="B97" t="str">
            <v>    {"name": "Olivera", "slug": "mathias-olivera-miramontes", "role": "DF"},</v>
          </cell>
        </row>
        <row r="98">
          <cell r="A98" t="str">
            <v>Zanoli</v>
          </cell>
          <cell r="B98" t="str">
            <v>    {"name": "Zanoli", "slug": "alessandro-zanoli", "role": "DF"},</v>
          </cell>
        </row>
        <row r="99">
          <cell r="A99" t="str">
            <v>Fabbian</v>
          </cell>
          <cell r="B99" t="str">
            <v>    {"name": "Fabbian", "slug": "giovanni-fabbian", "role": "MF"},</v>
          </cell>
        </row>
        <row r="100">
          <cell r="A100" t="str">
            <v>Zurkowski</v>
          </cell>
          <cell r="B100" t="str">
            <v>    {"name": "Zurkowski", "slug": "szymon-zurkowski", "role": "MF"},</v>
          </cell>
        </row>
        <row r="101">
          <cell r="A101" t="str">
            <v>Dybala</v>
          </cell>
          <cell r="B101" t="str">
            <v>    {"name": "Dybala", "slug": "paulo-bruno-exequiel-dybala", "role": "FW"},</v>
          </cell>
        </row>
        <row r="102">
          <cell r="A102" t="str">
            <v>Pulisic</v>
          </cell>
          <cell r="B102" t="str">
            <v>    {"name": "Pulisic", "slug": "christian-pulisic", "role": "FW"},</v>
          </cell>
        </row>
        <row r="103">
          <cell r="A103" t="str">
            <v>Thauvin</v>
          </cell>
          <cell r="B103" t="str">
            <v>    {"name": "Thauvin", "slug": "florian-thauvin", "role": "FW"},</v>
          </cell>
        </row>
        <row r="104">
          <cell r="A104" t="str">
            <v>Colpani</v>
          </cell>
          <cell r="B104" t="str">
            <v>    {"name": "Colpani", "slug": "andrea-colpani", "role": "MF"},</v>
          </cell>
        </row>
        <row r="105">
          <cell r="A105" t="str">
            <v>Gilmour</v>
          </cell>
          <cell r="B105" t="str">
            <v>    {"name": "Gilmour", "slug": "billy-gilmour", "role": "MF"},</v>
          </cell>
        </row>
        <row r="106">
          <cell r="A106" t="str">
            <v>Tavares N.</v>
          </cell>
          <cell r="B106" t="str">
            <v>    {"name": "Tavares N.", "slug": "nuno-albertino-varela-tavares", "role": "DF"},</v>
          </cell>
        </row>
        <row r="107">
          <cell r="A107" t="str">
            <v>Vojvoda</v>
          </cell>
          <cell r="B107" t="str">
            <v>    {"name": "Vojvoda", "slug": "mergim-vojvoda", "role": "DF"},</v>
          </cell>
        </row>
        <row r="108">
          <cell r="A108" t="str">
            <v>Djimsiti</v>
          </cell>
          <cell r="B108" t="str">
            <v>    {"name": "Djimsiti", "slug": "berat-djimsiti", "role": "DF"},</v>
          </cell>
        </row>
        <row r="109">
          <cell r="A109" t="str">
            <v>Gigot</v>
          </cell>
          <cell r="B109" t="str">
            <v>    {"name": "Gigot", "slug": "samuel-gigot", "role": "DF"},</v>
          </cell>
        </row>
        <row r="110">
          <cell r="A110" t="str">
            <v>Acerbi</v>
          </cell>
          <cell r="B110" t="str">
            <v>    {"name": "Acerbi", "slug": "francesco-acerbi", "role": "DF"},</v>
          </cell>
        </row>
        <row r="111">
          <cell r="A111" t="str">
            <v>Casale</v>
          </cell>
          <cell r="B111" t="str">
            <v>    {"name": "Casale", "slug": "nicolo-casale", "role": "DF"},</v>
          </cell>
        </row>
        <row r="112">
          <cell r="A112" t="str">
            <v>Rui Patricio</v>
          </cell>
          <cell r="B112" t="str">
            <v>    {"name": "Rui Patricio", "slug": "rui-pedro-dos-santos-patricio", "role": "GK"},</v>
          </cell>
        </row>
        <row r="113">
          <cell r="A113" t="str">
            <v>Mbangula</v>
          </cell>
          <cell r="B113" t="str">
            <v>    {"name": "Mbangula", "slug": "samuel-germain-kinduelu-mbangula-tshifunda", "role": "FW"},</v>
          </cell>
        </row>
        <row r="114">
          <cell r="A114" t="str">
            <v>Kone' M.</v>
          </cell>
          <cell r="B114" t="str">
            <v>    {"name": "Kone' M.", "slug": "mohamed-kone-2002-03-07", "role": "MF"},</v>
          </cell>
        </row>
        <row r="115">
          <cell r="A115" t="str">
            <v>Zortea</v>
          </cell>
          <cell r="B115" t="str">
            <v>    {"name": "Zortea", "slug": "nadir-zortea", "role": "DF"},</v>
          </cell>
        </row>
        <row r="116">
          <cell r="A116" t="str">
            <v>Ricci S.</v>
          </cell>
          <cell r="B116" t="str">
            <v>    {"name": "Ricci S.", "slug": "samuele-ricci", "role": "MF"},</v>
          </cell>
        </row>
        <row r="117">
          <cell r="A117" t="str">
            <v>Terracciano</v>
          </cell>
          <cell r="B117" t="str">
            <v>    {"name": "Terracciano", "slug": "pietro-terracciano", "role": "GK"},</v>
          </cell>
        </row>
        <row r="118">
          <cell r="A118" t="str">
            <v>Milinkovic-Savic V.</v>
          </cell>
          <cell r="B118" t="str">
            <v>    {"name": "Milinkovic-Savic V.", "slug": "vanja-milinkovic-savic", "role": "GK"},</v>
          </cell>
        </row>
        <row r="119">
          <cell r="A119" t="str">
            <v>Castellanos</v>
          </cell>
          <cell r="B119" t="str">
            <v>    {"name": "Castellanos", "slug": "valentin-mariano-jose-castellanos-gimenez", "role": "FW"},</v>
          </cell>
        </row>
        <row r="120">
          <cell r="A120" t="str">
            <v>Abraham</v>
          </cell>
          <cell r="B120" t="str">
            <v>    {"name": "Abraham", "slug": "kevin-oghenetega-tamaraebi-bakumo-abraham", "role": "FW"},</v>
          </cell>
        </row>
        <row r="121">
          <cell r="A121" t="str">
            <v>Morata</v>
          </cell>
          <cell r="B121" t="str">
            <v>    {"name": "Morata", "slug": "alvaro-borja-morata-martin", "role": "FW"},</v>
          </cell>
        </row>
        <row r="122">
          <cell r="A122" t="str">
            <v>Isaksen</v>
          </cell>
          <cell r="B122" t="str">
            <v>    {"name": "Isaksen", "slug": "gustav-tang-isaksen", "role": "FW"},</v>
          </cell>
        </row>
        <row r="123">
          <cell r="A123" t="str">
            <v>Frattesi</v>
          </cell>
          <cell r="B123" t="str">
            <v>    {"name": "Frattesi", "slug": "davide-frattesi", "role": "MF"},</v>
          </cell>
        </row>
        <row r="124">
          <cell r="A124" t="str">
            <v>Dele-Bashiru</v>
          </cell>
          <cell r="B124" t="str">
            <v>    {"name": "Dele-Bashiru", "slug": "fisayo-dele-bashiru", "role": "MF"},</v>
          </cell>
        </row>
        <row r="125">
          <cell r="A125" t="str">
            <v>Carlos Augusto</v>
          </cell>
          <cell r="B125" t="str">
            <v>    {"name": "Carlos Augusto", "slug": "carlos-augusto-zopalato-neves", "role": "DF"},</v>
          </cell>
        </row>
        <row r="126">
          <cell r="A126" t="str">
            <v>Cambiaso</v>
          </cell>
          <cell r="B126" t="str">
            <v>    {"name": "Cambiaso", "slug": "andrea-cambiaso", "role": "DF"},</v>
          </cell>
        </row>
        <row r="127">
          <cell r="A127" t="str">
            <v>Guilbert</v>
          </cell>
          <cell r="B127" t="str">
            <v>    {"name": "Guilbert", "slug": "frederic-guilbert", "role": "DF"},</v>
          </cell>
        </row>
        <row r="128">
          <cell r="A128" t="str">
            <v>Coco</v>
          </cell>
          <cell r="B128" t="str">
            <v>    {"name": "Coco", "slug": "saul-basilio-coco-bassey-oubina", "role": "DF"},</v>
          </cell>
        </row>
        <row r="129">
          <cell r="A129" t="str">
            <v>Soule'</v>
          </cell>
          <cell r="B129" t="str">
            <v>    {"name": "Soule'", "slug": "matias-soule-malvano", "role": "FW"},</v>
          </cell>
        </row>
        <row r="130">
          <cell r="A130" t="str">
            <v>Coppola D.</v>
          </cell>
          <cell r="B130" t="str">
            <v>    {"name": "Coppola D.", "slug": "diego-coppola", "role": "DF"},</v>
          </cell>
        </row>
        <row r="131">
          <cell r="A131" t="str">
            <v>Viti</v>
          </cell>
          <cell r="B131" t="str">
            <v>    {"name": "Viti", "slug": "mattia-viti", "role": "DF"},</v>
          </cell>
        </row>
        <row r="132">
          <cell r="A132" t="str">
            <v>Pavlovic</v>
          </cell>
          <cell r="B132" t="str">
            <v>    {"name": "Pavlovic", "slug": "aleksandar-pavlovic", "role": "MF"},</v>
          </cell>
        </row>
        <row r="133">
          <cell r="A133" t="str">
            <v>Suslov</v>
          </cell>
          <cell r="B133" t="str">
            <v>    {"name": "Suslov", "slug": "tomas-suslov", "role": "MF"},</v>
          </cell>
        </row>
        <row r="134">
          <cell r="A134" t="str">
            <v>Turati</v>
          </cell>
          <cell r="B134" t="str">
            <v>    {"name": "Turati", "slug": "stefano-turati", "role": "GK"},</v>
          </cell>
        </row>
        <row r="135">
          <cell r="A135" t="str">
            <v>Pizzignacco</v>
          </cell>
          <cell r="B135" t="str">
            <v>    {"name": "Pizzignacco", "slug": "semuel-pizzignacco", "role": "GK"},</v>
          </cell>
        </row>
        <row r="136">
          <cell r="A136" t="str">
            <v>Pizzignacco</v>
          </cell>
          <cell r="B136" t="str">
            <v>    {"name": "Pizzignacco", "slug": "semuel-pizzignacco", "role": "GK"},</v>
          </cell>
        </row>
        <row r="137">
          <cell r="A137" t="str">
            <v>Strefezza</v>
          </cell>
          <cell r="B137" t="str">
            <v xml:space="preserve">    {"name": "Strefezza", "slug": "gabriel-tadeu-strefezza-rebelato"},</v>
          </cell>
        </row>
        <row r="138">
          <cell r="A138" t="str">
            <v>Guendouzi</v>
          </cell>
          <cell r="B138" t="str">
            <v xml:space="preserve">    {"name": "Guendouzi", "slug": "matteo-guendouzi-olie"},</v>
          </cell>
        </row>
        <row r="139">
          <cell r="A139" t="str">
            <v>Hummels</v>
          </cell>
          <cell r="B139" t="str">
            <v xml:space="preserve">    {"name": "Hummels", "slug": "mats-hummels"},</v>
          </cell>
        </row>
        <row r="140">
          <cell r="A140" t="str">
            <v>Rensch</v>
          </cell>
          <cell r="B140" t="str">
            <v xml:space="preserve">    {"name": "Rensch", "slug": "devyne-rensch"},</v>
          </cell>
        </row>
        <row r="141">
          <cell r="A141" t="str">
            <v>Solet</v>
          </cell>
          <cell r="B141" t="str">
            <v xml:space="preserve">    {"name": "Solet", "slug": "oumar-solet-bomawoko"},</v>
          </cell>
        </row>
        <row r="142">
          <cell r="A142" t="str">
            <v>Dominguez B.</v>
          </cell>
          <cell r="B142" t="str">
            <v xml:space="preserve">    {"name": "Dominguez B.", "slug": "benjamin-dominguez"},</v>
          </cell>
        </row>
        <row r="143">
          <cell r="A143" t="str">
            <v>Castro</v>
          </cell>
          <cell r="B143" t="str">
            <v xml:space="preserve">    {"name": "Castro", "slug": "santiago-tomas-castro"},</v>
          </cell>
        </row>
        <row r="144">
          <cell r="A144" t="str">
            <v>Kolo Muani</v>
          </cell>
          <cell r="B144" t="str">
            <v xml:space="preserve">    {"name": "Kolo Muani", "slug": "randal-kolo-muani"},</v>
          </cell>
        </row>
        <row r="145">
          <cell r="A145" t="str">
            <v>Esposito S.</v>
          </cell>
          <cell r="B145" t="str">
            <v xml:space="preserve">    {"name": "Esposito S.", "slug": "sebastiano-esposito"},</v>
          </cell>
        </row>
        <row r="146">
          <cell r="A146" t="str">
            <v>Thiaw</v>
          </cell>
          <cell r="B146" t="str">
            <v xml:space="preserve">    {"name": "Thiaw", "slug": "malick-thiaw-2001-08-08"},</v>
          </cell>
        </row>
        <row r="147">
          <cell r="A147" t="str">
            <v>Caqueret</v>
          </cell>
          <cell r="B147" t="str">
            <v xml:space="preserve">    {"name": "Caqueret", "slug": "maxence-caqueret"},</v>
          </cell>
        </row>
        <row r="148">
          <cell r="A148" t="str">
            <v>Jimenez</v>
          </cell>
          <cell r="B148" t="str">
            <v xml:space="preserve">    {"name": "Jimenez", "slug": "alejandro-jimenez-sanchez"},</v>
          </cell>
        </row>
        <row r="149">
          <cell r="A149" t="str">
            <v>Valle</v>
          </cell>
          <cell r="B149" t="str">
            <v xml:space="preserve">    {"name": "Valle", "slug": "alex-valle-gomez"},</v>
          </cell>
        </row>
        <row r="150">
          <cell r="A150" t="str">
            <v>Walker</v>
          </cell>
          <cell r="B150" t="str">
            <v xml:space="preserve">    {"name": "Walker", "slug": "kyle-walker"},</v>
          </cell>
        </row>
        <row r="151">
          <cell r="A151" t="str">
            <v>Piccoli</v>
          </cell>
          <cell r="B151" t="str">
            <v xml:space="preserve">    {"name": "Piccoli", "slug": "roberto-piccoli"},</v>
          </cell>
        </row>
        <row r="152">
          <cell r="A152" t="str">
            <v>Adams</v>
          </cell>
          <cell r="B152" t="str">
            <v xml:space="preserve">    {"name": "Adams", "slug": "che-adams"},</v>
          </cell>
        </row>
        <row r="153">
          <cell r="A153" t="str">
            <v>Lazaro</v>
          </cell>
          <cell r="B153" t="str">
            <v xml:space="preserve">    {"name": "Lazaro", "slug": "valentino-lazaro"},</v>
          </cell>
        </row>
        <row r="154">
          <cell r="A154" t="str">
            <v>Elmas</v>
          </cell>
          <cell r="B154" t="str">
            <v xml:space="preserve">    {"name": "Elmas", "slug": "eljif-elmas"},</v>
          </cell>
        </row>
        <row r="155">
          <cell r="A155" t="str">
            <v>Miretti</v>
          </cell>
          <cell r="B155" t="str">
            <v xml:space="preserve">    {"name": "Miretti", "slug": "fabio-miretti"},</v>
          </cell>
        </row>
        <row r="156">
          <cell r="A156" t="str">
            <v>Casadei</v>
          </cell>
          <cell r="B156" t="str">
            <v xml:space="preserve">    {"name": "Casadei", "slug": "cesare-casadei"},</v>
          </cell>
        </row>
        <row r="157">
          <cell r="A157" t="str">
            <v>Maripan</v>
          </cell>
          <cell r="B157" t="str">
            <v xml:space="preserve">    {"name": "Maripan", "slug": "guillermo-alfonso-maripan-loaysa"},</v>
          </cell>
        </row>
        <row r="158">
          <cell r="A158" t="str">
            <v>Leali</v>
          </cell>
          <cell r="B158" t="str">
            <v xml:space="preserve">    {"name": "Leali", "slug": "nicola-leali"},</v>
          </cell>
        </row>
        <row r="159">
          <cell r="A159" t="str">
            <v>Kelly</v>
          </cell>
          <cell r="B159" t="str">
            <v xml:space="preserve">    {"name": "Kelly", "slug": "lloyd-kelly"},</v>
          </cell>
        </row>
        <row r="160">
          <cell r="A160" t="str">
            <v>Posch</v>
          </cell>
          <cell r="B160" t="str">
            <v xml:space="preserve">    {"name": "Posch", "slug": "stefan-posch"},</v>
          </cell>
        </row>
        <row r="161">
          <cell r="A161" t="str">
            <v>McKennie</v>
          </cell>
          <cell r="B161" t="str">
            <v xml:space="preserve">    {"name": "McKennie", "slug": "weston-mckennie"},</v>
          </cell>
        </row>
        <row r="162">
          <cell r="A162" t="str">
            <v>Beltran</v>
          </cell>
          <cell r="B162" t="str">
            <v xml:space="preserve">    {"name": "Beltran", "slug": "lucas-beltran"},</v>
          </cell>
        </row>
        <row r="163">
          <cell r="A163" t="str">
            <v>Rovella</v>
          </cell>
          <cell r="B163" t="str">
            <v xml:space="preserve">    {"name": "Rovella", "slug": "nicolo-rovella"},</v>
          </cell>
        </row>
        <row r="164">
          <cell r="A164" t="str">
            <v>Joao Felix</v>
          </cell>
          <cell r="B164" t="str">
            <v xml:space="preserve">    {"name": "Joao Felix", "slug": "joao-felix-sequeira"},</v>
          </cell>
        </row>
        <row r="165">
          <cell r="A165" t="str">
            <v>Tomori</v>
          </cell>
          <cell r="B165" t="str">
            <v xml:space="preserve">    {"name": "Tomori", "slug": "fikayo-tomori"},</v>
          </cell>
        </row>
        <row r="166">
          <cell r="A166" t="str">
            <v>Vazquez</v>
          </cell>
          <cell r="B166" t="str">
            <v xml:space="preserve">    {"name": "Vazquez", "slug": "brandon-vazquez-toledo"},</v>
          </cell>
        </row>
        <row r="167">
          <cell r="A167" t="str">
            <v>Fofana</v>
          </cell>
          <cell r="B167" t="str">
            <v xml:space="preserve">    {"name": "Fofana", "slug": "wesley-fofana"},</v>
          </cell>
        </row>
        <row r="168">
          <cell r="A168" t="str">
            <v>Politano</v>
          </cell>
          <cell r="B168" t="str">
            <v xml:space="preserve">    {"name": "Politano", "slug": "matteo-politano"},</v>
          </cell>
        </row>
        <row r="169">
          <cell r="A169" t="str">
            <v>Gimenez</v>
          </cell>
          <cell r="B169" t="str">
            <v xml:space="preserve">    {"name": "Gimenez", "slug": "santiago-tomas-gimenez"},</v>
          </cell>
        </row>
        <row r="170">
          <cell r="A170" t="str">
            <v>Saelemakers</v>
          </cell>
          <cell r="B170" t="str">
            <v xml:space="preserve">    {"name": "Saelemakers", "slug": "alexis-saelemaekers"},</v>
          </cell>
        </row>
        <row r="171">
          <cell r="A171" t="str">
            <v>Lobotka</v>
          </cell>
          <cell r="B171" t="str">
            <v xml:space="preserve">    {"name": "Lobotka", "slug": "stanislav-lobotka"},</v>
          </cell>
        </row>
        <row r="172">
          <cell r="A172" t="str">
            <v>Locatelli</v>
          </cell>
          <cell r="B172" t="str">
            <v xml:space="preserve">    {"name": "Locatelli", "slug": "manuel-locatelli"},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nteggi GW"/>
      <sheetName val="Dettaglio punteggi"/>
      <sheetName val="Bonus"/>
    </sheetNames>
    <sheetDataSet>
      <sheetData sheetId="0">
        <row r="1">
          <cell r="A1" t="str">
            <v>Nome Giocatore</v>
          </cell>
          <cell r="B1" t="str">
            <v>Punteggio Totale</v>
          </cell>
          <cell r="C1" t="str">
            <v>Icone</v>
          </cell>
        </row>
        <row r="2">
          <cell r="A2" t="str">
            <v>Carnesecchi</v>
          </cell>
          <cell r="B2" t="str">
            <v>S.V.</v>
          </cell>
        </row>
        <row r="3">
          <cell r="A3" t="str">
            <v>Angelino</v>
          </cell>
          <cell r="B3">
            <v>10.4</v>
          </cell>
          <cell r="C3" t="str">
            <v>⚽</v>
          </cell>
        </row>
        <row r="4">
          <cell r="A4" t="str">
            <v>De Vrij</v>
          </cell>
          <cell r="B4">
            <v>25</v>
          </cell>
          <cell r="C4" t="str">
            <v>⚽</v>
          </cell>
        </row>
        <row r="5">
          <cell r="A5" t="str">
            <v>Rrahmani</v>
          </cell>
          <cell r="B5">
            <v>7.8</v>
          </cell>
        </row>
        <row r="6">
          <cell r="A6" t="str">
            <v>Di Lorenzo</v>
          </cell>
          <cell r="B6">
            <v>3.5</v>
          </cell>
        </row>
        <row r="7">
          <cell r="A7" t="str">
            <v>Reijnders</v>
          </cell>
          <cell r="B7">
            <v>23.2</v>
          </cell>
          <cell r="C7" t="str">
            <v>⚽</v>
          </cell>
        </row>
        <row r="8">
          <cell r="A8" t="str">
            <v>Ederson</v>
          </cell>
          <cell r="B8">
            <v>24</v>
          </cell>
        </row>
        <row r="9">
          <cell r="A9" t="str">
            <v>De Roon</v>
          </cell>
          <cell r="B9">
            <v>22.2</v>
          </cell>
        </row>
        <row r="10">
          <cell r="A10" t="str">
            <v>Paz</v>
          </cell>
          <cell r="B10">
            <v>5</v>
          </cell>
        </row>
        <row r="11">
          <cell r="A11" t="str">
            <v>Kean</v>
          </cell>
          <cell r="B11">
            <v>6.8</v>
          </cell>
          <cell r="C11" t="str">
            <v>⚽</v>
          </cell>
        </row>
        <row r="12">
          <cell r="A12" t="str">
            <v>Thuram M.</v>
          </cell>
          <cell r="B12">
            <v>11.9</v>
          </cell>
        </row>
        <row r="13">
          <cell r="A13" t="str">
            <v>Sommer</v>
          </cell>
          <cell r="B13">
            <v>3</v>
          </cell>
          <cell r="C13" t="str">
            <v>🥲x1</v>
          </cell>
        </row>
        <row r="14">
          <cell r="A14" t="str">
            <v>Savona</v>
          </cell>
          <cell r="B14">
            <v>8.3000000000000007</v>
          </cell>
        </row>
        <row r="15">
          <cell r="A15" t="str">
            <v>De Winter</v>
          </cell>
          <cell r="B15">
            <v>-0.1</v>
          </cell>
          <cell r="C15" t="str">
            <v>⚽ 🟨</v>
          </cell>
        </row>
        <row r="16">
          <cell r="A16" t="str">
            <v>Comuzzo</v>
          </cell>
          <cell r="B16">
            <v>-0.1</v>
          </cell>
          <cell r="C16" t="str">
            <v>🟨</v>
          </cell>
        </row>
        <row r="17">
          <cell r="A17" t="str">
            <v>Bellanova</v>
          </cell>
          <cell r="B17">
            <v>19.399999999999999</v>
          </cell>
          <cell r="C17" t="str">
            <v>👟</v>
          </cell>
        </row>
        <row r="18">
          <cell r="A18" t="str">
            <v>Thuram K.</v>
          </cell>
          <cell r="B18">
            <v>2.4</v>
          </cell>
          <cell r="C18" t="str">
            <v>👟</v>
          </cell>
        </row>
        <row r="19">
          <cell r="A19" t="str">
            <v>Ndoye</v>
          </cell>
          <cell r="B19">
            <v>-5.2</v>
          </cell>
          <cell r="C19" t="str">
            <v>🟨</v>
          </cell>
        </row>
        <row r="20">
          <cell r="A20" t="str">
            <v>Fazzini</v>
          </cell>
          <cell r="B20" t="str">
            <v>S.V.</v>
          </cell>
        </row>
        <row r="21">
          <cell r="A21" t="str">
            <v>Maldini</v>
          </cell>
          <cell r="B21" t="str">
            <v>S.V.</v>
          </cell>
        </row>
        <row r="22">
          <cell r="A22" t="str">
            <v>De Ketelaere</v>
          </cell>
          <cell r="B22">
            <v>10.6</v>
          </cell>
        </row>
        <row r="23">
          <cell r="A23" t="str">
            <v>Bonny</v>
          </cell>
          <cell r="B23">
            <v>4.4000000000000004</v>
          </cell>
        </row>
        <row r="24">
          <cell r="A24" t="str">
            <v>Di Gregorio</v>
          </cell>
          <cell r="B24">
            <v>0.6</v>
          </cell>
          <cell r="C24" t="str">
            <v>🥲x1</v>
          </cell>
        </row>
        <row r="25">
          <cell r="A25" t="str">
            <v>Buongiorno</v>
          </cell>
          <cell r="B25" t="str">
            <v>S.V.</v>
          </cell>
        </row>
        <row r="26">
          <cell r="A26" t="str">
            <v>Mancini</v>
          </cell>
          <cell r="B26">
            <v>14.2</v>
          </cell>
        </row>
        <row r="27">
          <cell r="A27" t="str">
            <v>Bijol</v>
          </cell>
          <cell r="B27">
            <v>4.3</v>
          </cell>
          <cell r="C27" t="str">
            <v>🟨</v>
          </cell>
        </row>
        <row r="28">
          <cell r="A28" t="str">
            <v>Spinazzola</v>
          </cell>
          <cell r="B28">
            <v>6.7</v>
          </cell>
          <cell r="C28" t="str">
            <v>⚽</v>
          </cell>
        </row>
        <row r="29">
          <cell r="A29" t="str">
            <v>Brescianini</v>
          </cell>
          <cell r="B29">
            <v>5.0999999999999996</v>
          </cell>
        </row>
        <row r="30">
          <cell r="A30" t="str">
            <v>McTominay</v>
          </cell>
          <cell r="B30">
            <v>14.1</v>
          </cell>
        </row>
        <row r="31">
          <cell r="A31" t="str">
            <v>Gosens</v>
          </cell>
          <cell r="B31">
            <v>16.8</v>
          </cell>
          <cell r="C31" t="str">
            <v>👟</v>
          </cell>
        </row>
        <row r="32">
          <cell r="A32" t="str">
            <v>Neres</v>
          </cell>
          <cell r="B32">
            <v>8.6</v>
          </cell>
        </row>
        <row r="33">
          <cell r="A33" t="str">
            <v>Gudmundsson A.</v>
          </cell>
          <cell r="B33">
            <v>18.600000000000001</v>
          </cell>
          <cell r="C33" t="str">
            <v>⚽</v>
          </cell>
        </row>
        <row r="34">
          <cell r="A34" t="str">
            <v>Dovbyk</v>
          </cell>
          <cell r="B34">
            <v>-1.8</v>
          </cell>
        </row>
        <row r="35">
          <cell r="A35" t="str">
            <v>Meret</v>
          </cell>
          <cell r="B35">
            <v>0.4</v>
          </cell>
          <cell r="C35" t="str">
            <v>🥲x1</v>
          </cell>
        </row>
        <row r="36">
          <cell r="A36" t="str">
            <v>Ranieri L.</v>
          </cell>
          <cell r="B36">
            <v>3.7</v>
          </cell>
        </row>
        <row r="37">
          <cell r="A37" t="str">
            <v>Pavard</v>
          </cell>
          <cell r="B37">
            <v>3.4</v>
          </cell>
        </row>
        <row r="38">
          <cell r="A38" t="str">
            <v>Baschirotto</v>
          </cell>
          <cell r="B38">
            <v>-0.6</v>
          </cell>
        </row>
        <row r="39">
          <cell r="A39" t="str">
            <v>Douglas Luiz</v>
          </cell>
          <cell r="B39" t="str">
            <v>S.V.</v>
          </cell>
        </row>
        <row r="40">
          <cell r="A40" t="str">
            <v>Hernandez T.</v>
          </cell>
          <cell r="B40">
            <v>9.9</v>
          </cell>
        </row>
        <row r="41">
          <cell r="A41" t="str">
            <v>Freuler</v>
          </cell>
          <cell r="B41">
            <v>33.4</v>
          </cell>
          <cell r="C41" t="str">
            <v>🛡️ 🟨</v>
          </cell>
        </row>
        <row r="42">
          <cell r="A42" t="str">
            <v>Zambo Anguissa</v>
          </cell>
          <cell r="B42">
            <v>6.5</v>
          </cell>
        </row>
        <row r="43">
          <cell r="A43" t="str">
            <v>Weah</v>
          </cell>
          <cell r="B43">
            <v>19.7</v>
          </cell>
          <cell r="C43" t="str">
            <v>👟</v>
          </cell>
        </row>
        <row r="44">
          <cell r="A44" t="str">
            <v>Martinez L.</v>
          </cell>
          <cell r="B44">
            <v>14.3</v>
          </cell>
        </row>
        <row r="45">
          <cell r="A45" t="str">
            <v>Lukaku</v>
          </cell>
          <cell r="B45">
            <v>-2.8</v>
          </cell>
        </row>
        <row r="46">
          <cell r="A46" t="str">
            <v>De Gea</v>
          </cell>
          <cell r="B46">
            <v>3.5</v>
          </cell>
          <cell r="C46" t="str">
            <v>🥲x1</v>
          </cell>
        </row>
        <row r="47">
          <cell r="A47" t="str">
            <v>Vasquez</v>
          </cell>
          <cell r="B47">
            <v>-0.1</v>
          </cell>
        </row>
        <row r="48">
          <cell r="A48" t="str">
            <v>Romagnoli</v>
          </cell>
          <cell r="B48">
            <v>10.8</v>
          </cell>
        </row>
        <row r="49">
          <cell r="A49" t="str">
            <v>Bastoni</v>
          </cell>
          <cell r="B49">
            <v>5.4</v>
          </cell>
          <cell r="C49" t="str">
            <v>🟨</v>
          </cell>
        </row>
        <row r="50">
          <cell r="A50" t="str">
            <v>Ruggeri</v>
          </cell>
          <cell r="B50">
            <v>7</v>
          </cell>
        </row>
        <row r="51">
          <cell r="A51" t="str">
            <v>Dimarco</v>
          </cell>
          <cell r="B51">
            <v>3.4</v>
          </cell>
        </row>
        <row r="52">
          <cell r="A52" t="str">
            <v>Barella</v>
          </cell>
          <cell r="B52">
            <v>14.8</v>
          </cell>
        </row>
        <row r="53">
          <cell r="A53" t="str">
            <v>Calhanoglu</v>
          </cell>
          <cell r="B53">
            <v>7.9</v>
          </cell>
        </row>
        <row r="54">
          <cell r="A54" t="str">
            <v>Zaccagni</v>
          </cell>
          <cell r="B54">
            <v>17.8</v>
          </cell>
          <cell r="C54" t="str">
            <v>⚽ 👟</v>
          </cell>
        </row>
        <row r="55">
          <cell r="A55" t="str">
            <v>Dia</v>
          </cell>
          <cell r="B55">
            <v>14</v>
          </cell>
        </row>
        <row r="56">
          <cell r="A56" t="str">
            <v>Leao</v>
          </cell>
          <cell r="B56">
            <v>4.0999999999999996</v>
          </cell>
        </row>
        <row r="57">
          <cell r="A57" t="str">
            <v>Falcone</v>
          </cell>
          <cell r="B57">
            <v>21.4</v>
          </cell>
          <cell r="C57" t="str">
            <v>🧤 🥲x1</v>
          </cell>
        </row>
        <row r="58">
          <cell r="A58" t="str">
            <v>Gatti</v>
          </cell>
          <cell r="B58">
            <v>19.899999999999999</v>
          </cell>
          <cell r="C58" t="str">
            <v>🛡️</v>
          </cell>
        </row>
        <row r="59">
          <cell r="A59" t="str">
            <v>Hien</v>
          </cell>
          <cell r="B59">
            <v>14.8</v>
          </cell>
        </row>
        <row r="60">
          <cell r="A60" t="str">
            <v>Beukema</v>
          </cell>
          <cell r="B60">
            <v>9.6</v>
          </cell>
          <cell r="C60" t="str">
            <v>🧱</v>
          </cell>
        </row>
        <row r="61">
          <cell r="A61" t="str">
            <v>Miranda</v>
          </cell>
          <cell r="B61">
            <v>15.8</v>
          </cell>
          <cell r="C61" t="str">
            <v>👟</v>
          </cell>
        </row>
        <row r="62">
          <cell r="A62" t="str">
            <v>Pasalic</v>
          </cell>
          <cell r="B62">
            <v>11.7</v>
          </cell>
        </row>
        <row r="63">
          <cell r="A63" t="str">
            <v>Mkhitaryan</v>
          </cell>
          <cell r="B63">
            <v>5.6</v>
          </cell>
        </row>
        <row r="64">
          <cell r="A64" t="str">
            <v>Dodò</v>
          </cell>
          <cell r="B64">
            <v>6.6</v>
          </cell>
        </row>
        <row r="65">
          <cell r="A65" t="str">
            <v>Koopmeiners</v>
          </cell>
          <cell r="B65">
            <v>12.6</v>
          </cell>
        </row>
        <row r="66">
          <cell r="A66" t="str">
            <v>Dallinga</v>
          </cell>
          <cell r="B66">
            <v>0</v>
          </cell>
        </row>
        <row r="67">
          <cell r="A67" t="str">
            <v>Retegui</v>
          </cell>
          <cell r="B67">
            <v>8.8000000000000007</v>
          </cell>
        </row>
        <row r="68">
          <cell r="A68" t="str">
            <v>Vlahovic</v>
          </cell>
          <cell r="B68">
            <v>9.8000000000000007</v>
          </cell>
          <cell r="C68" t="str">
            <v>⚽</v>
          </cell>
        </row>
        <row r="69">
          <cell r="A69" t="str">
            <v>Zielinski</v>
          </cell>
          <cell r="B69">
            <v>4.5999999999999996</v>
          </cell>
        </row>
        <row r="70">
          <cell r="A70" t="str">
            <v>Bernabé</v>
          </cell>
          <cell r="B70" t="str">
            <v>S.V.</v>
          </cell>
        </row>
        <row r="71">
          <cell r="A71" t="str">
            <v>Zappacosta</v>
          </cell>
          <cell r="B71" t="str">
            <v>S.V.</v>
          </cell>
        </row>
        <row r="72">
          <cell r="A72" t="str">
            <v>Darmian</v>
          </cell>
          <cell r="B72" t="str">
            <v>S.V.</v>
          </cell>
        </row>
        <row r="73">
          <cell r="A73" t="str">
            <v>Mazzitelli</v>
          </cell>
          <cell r="B73" t="str">
            <v>S.V.</v>
          </cell>
        </row>
        <row r="74">
          <cell r="A74" t="str">
            <v>Kolasinac</v>
          </cell>
          <cell r="B74">
            <v>5.4</v>
          </cell>
        </row>
        <row r="75">
          <cell r="A75" t="str">
            <v>Dossena</v>
          </cell>
          <cell r="B75">
            <v>4.9000000000000004</v>
          </cell>
        </row>
        <row r="76">
          <cell r="A76" t="str">
            <v>Pongracic</v>
          </cell>
          <cell r="B76">
            <v>2.2999999999999998</v>
          </cell>
        </row>
        <row r="77">
          <cell r="A77" t="str">
            <v>N'Dicka</v>
          </cell>
          <cell r="B77">
            <v>9.1999999999999993</v>
          </cell>
        </row>
        <row r="78">
          <cell r="A78" t="str">
            <v>Provedel</v>
          </cell>
          <cell r="B78">
            <v>7.4</v>
          </cell>
          <cell r="C78" t="str">
            <v>🥲x1</v>
          </cell>
        </row>
        <row r="79">
          <cell r="A79" t="str">
            <v>Mandas</v>
          </cell>
          <cell r="B79" t="str">
            <v>S.V.</v>
          </cell>
        </row>
        <row r="80">
          <cell r="A80" t="str">
            <v>Maignan</v>
          </cell>
          <cell r="B80">
            <v>9.3000000000000007</v>
          </cell>
          <cell r="C80" t="str">
            <v>🥲x1</v>
          </cell>
        </row>
        <row r="81">
          <cell r="A81" t="str">
            <v>Lucca</v>
          </cell>
          <cell r="B81">
            <v>6.9</v>
          </cell>
          <cell r="C81" t="str">
            <v>⚽ 🟨</v>
          </cell>
        </row>
        <row r="82">
          <cell r="A82" t="str">
            <v>Noslin</v>
          </cell>
          <cell r="B82">
            <v>3.4</v>
          </cell>
        </row>
        <row r="83">
          <cell r="A83" t="str">
            <v>Conceicao</v>
          </cell>
          <cell r="B83">
            <v>5</v>
          </cell>
          <cell r="C83" t="str">
            <v>⚽</v>
          </cell>
        </row>
        <row r="84">
          <cell r="A84" t="str">
            <v>Pinamonti</v>
          </cell>
          <cell r="B84">
            <v>4.5</v>
          </cell>
        </row>
        <row r="85">
          <cell r="A85" t="str">
            <v>Frendrup</v>
          </cell>
          <cell r="B85">
            <v>8.3000000000000007</v>
          </cell>
        </row>
        <row r="86">
          <cell r="A86" t="str">
            <v>Zaniolo</v>
          </cell>
          <cell r="B86" t="str">
            <v>S.V.</v>
          </cell>
        </row>
        <row r="87">
          <cell r="A87" t="str">
            <v>Samardzic</v>
          </cell>
          <cell r="B87">
            <v>12.8</v>
          </cell>
        </row>
        <row r="88">
          <cell r="A88" t="str">
            <v>Fagioli</v>
          </cell>
          <cell r="B88" t="str">
            <v>S.V.</v>
          </cell>
        </row>
        <row r="89">
          <cell r="A89" t="str">
            <v>Pellegrini Lo.</v>
          </cell>
          <cell r="B89" t="str">
            <v>S.V.</v>
          </cell>
        </row>
        <row r="90">
          <cell r="A90" t="str">
            <v>De Sciglio</v>
          </cell>
          <cell r="B90">
            <v>-5.0999999999999996</v>
          </cell>
          <cell r="C90" t="str">
            <v>⚽</v>
          </cell>
        </row>
        <row r="91">
          <cell r="A91" t="str">
            <v>Perin</v>
          </cell>
          <cell r="B91" t="str">
            <v>S.V.</v>
          </cell>
        </row>
        <row r="92">
          <cell r="A92" t="str">
            <v>Skorupski</v>
          </cell>
          <cell r="B92">
            <v>8.1999999999999993</v>
          </cell>
          <cell r="C92" t="str">
            <v>🧱</v>
          </cell>
        </row>
        <row r="93">
          <cell r="A93" t="str">
            <v>Yildiz</v>
          </cell>
          <cell r="B93">
            <v>11.2</v>
          </cell>
        </row>
        <row r="94">
          <cell r="A94" t="str">
            <v>Gonzalez N.</v>
          </cell>
          <cell r="B94">
            <v>18.100000000000001</v>
          </cell>
        </row>
        <row r="95">
          <cell r="A95" t="str">
            <v>Krstovic</v>
          </cell>
          <cell r="B95">
            <v>13.2</v>
          </cell>
          <cell r="C95" t="str">
            <v>⚽ 👟</v>
          </cell>
        </row>
        <row r="96">
          <cell r="A96" t="str">
            <v>Valeri</v>
          </cell>
          <cell r="B96">
            <v>10.7</v>
          </cell>
          <cell r="C96" t="str">
            <v>⚽</v>
          </cell>
        </row>
        <row r="97">
          <cell r="A97" t="str">
            <v>Olivera</v>
          </cell>
          <cell r="B97" t="str">
            <v>S.V.</v>
          </cell>
        </row>
        <row r="98">
          <cell r="A98" t="str">
            <v>Zanoli</v>
          </cell>
          <cell r="B98" t="str">
            <v>S.V.</v>
          </cell>
        </row>
        <row r="99">
          <cell r="A99" t="str">
            <v>Fabbian</v>
          </cell>
          <cell r="B99">
            <v>6.1</v>
          </cell>
          <cell r="C99" t="str">
            <v>⚽</v>
          </cell>
        </row>
        <row r="100">
          <cell r="A100" t="str">
            <v>Zurkowski</v>
          </cell>
          <cell r="B100">
            <v>-2.5</v>
          </cell>
        </row>
        <row r="101">
          <cell r="A101" t="str">
            <v>Dybala</v>
          </cell>
          <cell r="B101">
            <v>5.7</v>
          </cell>
        </row>
        <row r="102">
          <cell r="A102" t="str">
            <v>Pulisic</v>
          </cell>
          <cell r="B102">
            <v>7.8</v>
          </cell>
        </row>
        <row r="103">
          <cell r="A103" t="str">
            <v>Thauvin</v>
          </cell>
          <cell r="B103">
            <v>12.1</v>
          </cell>
        </row>
        <row r="104">
          <cell r="A104" t="str">
            <v>Colpani</v>
          </cell>
          <cell r="B104" t="str">
            <v>S.V.</v>
          </cell>
        </row>
        <row r="105">
          <cell r="A105" t="str">
            <v>Gilmour</v>
          </cell>
          <cell r="B105" t="str">
            <v>S.V.</v>
          </cell>
        </row>
        <row r="106">
          <cell r="A106" t="str">
            <v>Tavares N.</v>
          </cell>
          <cell r="B106" t="str">
            <v>S.V.</v>
          </cell>
        </row>
        <row r="107">
          <cell r="A107" t="str">
            <v>Vojvoda</v>
          </cell>
          <cell r="B107" t="str">
            <v>S.V.</v>
          </cell>
        </row>
        <row r="108">
          <cell r="A108" t="str">
            <v>Djimsiti</v>
          </cell>
          <cell r="B108">
            <v>24.6</v>
          </cell>
          <cell r="C108" t="str">
            <v>⚽</v>
          </cell>
        </row>
        <row r="109">
          <cell r="A109" t="str">
            <v>Gigot</v>
          </cell>
          <cell r="B109">
            <v>7</v>
          </cell>
        </row>
        <row r="110">
          <cell r="A110" t="str">
            <v>Acerbi</v>
          </cell>
          <cell r="B110" t="str">
            <v>S.V.</v>
          </cell>
        </row>
        <row r="111">
          <cell r="A111" t="str">
            <v>Casale</v>
          </cell>
          <cell r="B111" t="str">
            <v>S.V.</v>
          </cell>
        </row>
        <row r="112">
          <cell r="A112" t="str">
            <v>Rui Patricio</v>
          </cell>
          <cell r="B112">
            <v>-0.8</v>
          </cell>
          <cell r="C112" t="str">
            <v>🥲x1</v>
          </cell>
        </row>
        <row r="113">
          <cell r="A113" t="str">
            <v>Mbangula</v>
          </cell>
          <cell r="B113" t="str">
            <v>S.V.</v>
          </cell>
        </row>
        <row r="114">
          <cell r="A114" t="str">
            <v>Koné M.</v>
          </cell>
          <cell r="B114">
            <v>0.7</v>
          </cell>
          <cell r="C114" t="str">
            <v>🟨</v>
          </cell>
        </row>
        <row r="115">
          <cell r="A115" t="str">
            <v>Zortea</v>
          </cell>
          <cell r="B115">
            <v>-6.8</v>
          </cell>
        </row>
        <row r="116">
          <cell r="A116" t="str">
            <v>Ricci S.</v>
          </cell>
          <cell r="B116">
            <v>5.3</v>
          </cell>
        </row>
        <row r="117">
          <cell r="A117" t="str">
            <v>Terracciano</v>
          </cell>
          <cell r="B117" t="str">
            <v>S.V.</v>
          </cell>
        </row>
        <row r="118">
          <cell r="A118" t="str">
            <v>Milinkovic-Savic V.</v>
          </cell>
          <cell r="B118">
            <v>29.3</v>
          </cell>
          <cell r="C118" t="str">
            <v>🧤 🥲x1 🟨</v>
          </cell>
        </row>
        <row r="119">
          <cell r="A119" t="str">
            <v>Castellanos</v>
          </cell>
          <cell r="B119">
            <v>20.3</v>
          </cell>
          <cell r="C119" t="str">
            <v>⚽</v>
          </cell>
        </row>
        <row r="120">
          <cell r="A120" t="str">
            <v>Abraham</v>
          </cell>
          <cell r="B120">
            <v>1</v>
          </cell>
        </row>
        <row r="121">
          <cell r="A121" t="str">
            <v>Morata</v>
          </cell>
          <cell r="B121">
            <v>3.9</v>
          </cell>
        </row>
        <row r="122">
          <cell r="A122" t="str">
            <v>Isaksen</v>
          </cell>
          <cell r="B122">
            <v>8.9</v>
          </cell>
        </row>
        <row r="123">
          <cell r="A123" t="str">
            <v>Frattesi</v>
          </cell>
          <cell r="B123">
            <v>2.4</v>
          </cell>
        </row>
        <row r="124">
          <cell r="A124" t="str">
            <v>Dele-Bashiru</v>
          </cell>
          <cell r="B124">
            <v>1.3</v>
          </cell>
        </row>
        <row r="125">
          <cell r="A125" t="str">
            <v>Carlos Augusto</v>
          </cell>
          <cell r="B125">
            <v>7.1</v>
          </cell>
        </row>
        <row r="126">
          <cell r="A126" t="str">
            <v>Cambiaso</v>
          </cell>
          <cell r="B126" t="str">
            <v>S.V.</v>
          </cell>
        </row>
        <row r="127">
          <cell r="A127" t="str">
            <v>Guilbert</v>
          </cell>
          <cell r="B127">
            <v>7.8</v>
          </cell>
        </row>
        <row r="128">
          <cell r="A128" t="str">
            <v>Coco</v>
          </cell>
          <cell r="B128">
            <v>-4.3</v>
          </cell>
          <cell r="C128" t="str">
            <v>🟨</v>
          </cell>
        </row>
        <row r="129">
          <cell r="A129" t="str">
            <v>Soule'</v>
          </cell>
          <cell r="B129">
            <v>7.1</v>
          </cell>
        </row>
        <row r="130">
          <cell r="A130" t="str">
            <v>Coppola D.</v>
          </cell>
          <cell r="B130">
            <v>23.4</v>
          </cell>
          <cell r="C130" t="str">
            <v>🧱</v>
          </cell>
        </row>
        <row r="131">
          <cell r="A131" t="str">
            <v>Viti</v>
          </cell>
          <cell r="B131" t="str">
            <v>S.V.</v>
          </cell>
        </row>
        <row r="132">
          <cell r="A132" t="str">
            <v>Pavlovic</v>
          </cell>
          <cell r="B132">
            <v>21.6</v>
          </cell>
        </row>
        <row r="133">
          <cell r="A133" t="str">
            <v>Suslov</v>
          </cell>
          <cell r="B133">
            <v>34.5</v>
          </cell>
          <cell r="C133" t="str">
            <v>🕺</v>
          </cell>
        </row>
        <row r="134">
          <cell r="A134" t="str">
            <v>Turati</v>
          </cell>
          <cell r="B134">
            <v>1.4</v>
          </cell>
          <cell r="C134" t="str">
            <v>🥲x1</v>
          </cell>
        </row>
        <row r="135">
          <cell r="A135" t="str">
            <v>Pizzignacco</v>
          </cell>
          <cell r="B135">
            <v>6.2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1CE2-1018-4A7F-A40D-3B91B98B7B28}">
  <dimension ref="A1:I139"/>
  <sheetViews>
    <sheetView tabSelected="1" workbookViewId="0">
      <selection activeCell="H2" sqref="H2:I8"/>
    </sheetView>
  </sheetViews>
  <sheetFormatPr defaultRowHeight="15" x14ac:dyDescent="0.25"/>
  <cols>
    <col min="2" max="2" width="18.42578125" hidden="1" customWidth="1"/>
    <col min="3" max="3" width="17.85546875" bestFit="1" customWidth="1"/>
    <col min="4" max="4" width="12.85546875" bestFit="1" customWidth="1"/>
    <col min="5" max="5" width="12.5703125" style="36" bestFit="1" customWidth="1"/>
    <col min="8" max="8" width="24.85546875" bestFit="1" customWidth="1"/>
    <col min="9" max="9" width="10.42578125" customWidth="1"/>
  </cols>
  <sheetData>
    <row r="1" spans="1:9" ht="15.75" thickBot="1" x14ac:dyDescent="0.3">
      <c r="A1" s="37" t="s">
        <v>0</v>
      </c>
      <c r="B1" s="37"/>
      <c r="C1" s="37"/>
      <c r="D1" s="37"/>
      <c r="E1" s="37"/>
    </row>
    <row r="2" spans="1:9" x14ac:dyDescent="0.25">
      <c r="A2" s="7" t="s">
        <v>1</v>
      </c>
      <c r="B2" s="7"/>
      <c r="C2" s="7"/>
      <c r="D2" s="7"/>
      <c r="E2" s="29"/>
      <c r="G2" s="19"/>
      <c r="H2" s="12" t="s">
        <v>159</v>
      </c>
      <c r="I2" s="13" t="s">
        <v>160</v>
      </c>
    </row>
    <row r="3" spans="1:9" x14ac:dyDescent="0.25">
      <c r="A3" s="5" t="s">
        <v>2</v>
      </c>
      <c r="B3" s="6" t="str">
        <f>VLOOKUP(C3, [1]Tabelle1!A:B, 2, FALSE)</f>
        <v>    {"name": "Carnesecchi", "slug": "marco-carnesecchi", "role": "GK"},</v>
      </c>
      <c r="C3" s="6" t="s">
        <v>3</v>
      </c>
      <c r="D3" s="6" t="str">
        <f>IF(IFERROR(IF(VLOOKUP(C3,'[2]Punteggi GW'!A:B,2,FALSE)="S.V.",
IFERROR(VLOOKUP(A3,A$15:E$23,4,FALSE),""),
VLOOKUP(C3,'[2]Punteggi GW'!A:C,3,FALSE)),"")="0","",
IFERROR(IF(VLOOKUP(C3,'[2]Punteggi GW'!A:B,2,FALSE)="S.V.",
IFERROR(IF(VLOOKUP(A3,A$15:E$23,4,FALSE)=0,"",VLOOKUP(A3,A$15:E$23,4,FALSE)),""),
IF(VLOOKUP(C3,'[2]Punteggi GW'!A:C,3,FALSE)=0,"",VLOOKUP(C3,'[2]Punteggi GW'!A:C,3,FALSE))),""))</f>
        <v>🥲x1</v>
      </c>
      <c r="E3" s="30" t="str" cm="1">
        <f t="array" ref="E3">IFERROR(IF(VLOOKUP(C3,'[2]Punteggi GW'!A:B,2,FALSE)="S.V.",
IFERROR(INDEX(E$15:E$23,_xlfn.AGGREGATE(15,6,(ROW(A$15:A$23)-MIN(ROW(A$15:A$23))+1)/(FIND(A3,A$15:A$23)&gt;0),1)) &amp; " 🔄","S.V."),
VLOOKUP(C3,'[2]Punteggi GW'!A:B,2,FALSE)),"S.V.")</f>
        <v>-0,8 🔄</v>
      </c>
      <c r="G3" s="20" t="s">
        <v>153</v>
      </c>
      <c r="H3" s="21" t="str" cm="1">
        <f t="array" ref="H3">INDEX($A$2:$A$117,_xlfn.AGGREGATE(15,6,(ROW($E$24:$E$139)-MIN(ROW($E$24:$E$139))+1)/(E$24:$E$139=LARGE($E$24:$E$139,ROW(A1))),1))</f>
        <v>Toro Loco</v>
      </c>
      <c r="I3" s="22">
        <f>LARGE($E$24:$E$139,ROW(A1))</f>
        <v>139.79999999999998</v>
      </c>
    </row>
    <row r="4" spans="1:9" x14ac:dyDescent="0.25">
      <c r="A4" s="2" t="s">
        <v>110</v>
      </c>
      <c r="B4" t="str">
        <f>VLOOKUP(C4, [1]Tabelle1!A:B, 2, FALSE)</f>
        <v>    {"name": "Angelino", "slug": "jose-angel-esmoris-tasende", "role": "DF"},</v>
      </c>
      <c r="C4" t="s">
        <v>5</v>
      </c>
      <c r="D4" t="str">
        <f>IF(IFERROR(IF(VLOOKUP(C4,'[2]Punteggi GW'!A:B,2,FALSE)="S.V.",
IFERROR(VLOOKUP(A4,A$15:E$23,4,FALSE),""),
VLOOKUP(C4,'[2]Punteggi GW'!A:C,3,FALSE)),"")="0","",
IFERROR(IF(VLOOKUP(C4,'[2]Punteggi GW'!A:B,2,FALSE)="S.V.",
IFERROR(IF(VLOOKUP(A4,A$15:E$23,4,FALSE)=0,"",VLOOKUP(A4,A$15:E$23,4,FALSE)),""),
IF(VLOOKUP(C4,'[2]Punteggi GW'!A:C,3,FALSE)=0,"",VLOOKUP(C4,'[2]Punteggi GW'!A:C,3,FALSE))),""))</f>
        <v>⚽</v>
      </c>
      <c r="E4" s="31" cm="1">
        <f t="array" ref="E4">IFERROR(IF(VLOOKUP(C4,'[2]Punteggi GW'!A:B,2,FALSE)="S.V.",
IFERROR(INDEX(E$15:E$23,_xlfn.AGGREGATE(15,6,(ROW(A$15:A$23)-MIN(ROW(A$15:A$23))+1)/(FIND(A4,A$15:A$23)&gt;0),1)) &amp; " 🔄","S.V."),
VLOOKUP(C4,'[2]Punteggi GW'!A:B,2,FALSE)),"S.V.")</f>
        <v>10.4</v>
      </c>
      <c r="G4" s="23" t="s">
        <v>154</v>
      </c>
      <c r="H4" s="24" t="str" cm="1">
        <f t="array" ref="H4">INDEX($A$2:$A$117,_xlfn.AGGREGATE(15,6,(ROW($E$24:$E$139)-MIN(ROW($E$24:$E$139))+1)/(E$24:$E$139=LARGE($E$24:$E$139,ROW(A2))),1))</f>
        <v>Bayern NeverGioien</v>
      </c>
      <c r="I4" s="25">
        <f t="shared" ref="I4:I8" si="0">LARGE($E$24:$E$139,ROW(A2))</f>
        <v>126.79999999999997</v>
      </c>
    </row>
    <row r="5" spans="1:9" x14ac:dyDescent="0.25">
      <c r="A5" s="1" t="s">
        <v>6</v>
      </c>
      <c r="B5" t="str">
        <f>VLOOKUP(C5, [1]Tabelle1!A:B, 2, FALSE)</f>
        <v>    {"name": "De Vrij", "slug": "stefan-de-vrij", "role": "DF"},</v>
      </c>
      <c r="C5" t="s">
        <v>7</v>
      </c>
      <c r="D5" t="str">
        <f>IF(IFERROR(IF(VLOOKUP(C5,'[2]Punteggi GW'!A:B,2,FALSE)="S.V.",
IFERROR(VLOOKUP(A5,A$15:E$23,4,FALSE),""),
VLOOKUP(C5,'[2]Punteggi GW'!A:C,3,FALSE)),"")="0","",
IFERROR(IF(VLOOKUP(C5,'[2]Punteggi GW'!A:B,2,FALSE)="S.V.",
IFERROR(IF(VLOOKUP(A5,A$15:E$23,4,FALSE)=0,"",VLOOKUP(A5,A$15:E$23,4,FALSE)),""),
IF(VLOOKUP(C5,'[2]Punteggi GW'!A:C,3,FALSE)=0,"",VLOOKUP(C5,'[2]Punteggi GW'!A:C,3,FALSE))),""))</f>
        <v>⚽</v>
      </c>
      <c r="E5" s="31" cm="1">
        <f t="array" ref="E5">IFERROR(IF(VLOOKUP(C5,'[2]Punteggi GW'!A:B,2,FALSE)="S.V.",
IFERROR(INDEX(E$15:E$23,_xlfn.AGGREGATE(15,6,(ROW(A$15:A$23)-MIN(ROW(A$15:A$23))+1)/(FIND(A5,A$15:A$23)&gt;0),1)) &amp; " 🔄","S.V."),
VLOOKUP(C5,'[2]Punteggi GW'!A:B,2,FALSE)),"S.V.")</f>
        <v>25</v>
      </c>
      <c r="G5" s="26" t="s">
        <v>155</v>
      </c>
      <c r="H5" s="27" t="str" cm="1">
        <f t="array" ref="H5">INDEX($A$2:$A$117,_xlfn.AGGREGATE(15,6,(ROW($E$24:$E$139)-MIN(ROW($E$24:$E$139))+1)/(E$24:$E$139=LARGE($E$24:$E$139,ROW(A3))),1))</f>
        <v>sleal madrink</v>
      </c>
      <c r="I5" s="28">
        <f t="shared" si="0"/>
        <v>88.6</v>
      </c>
    </row>
    <row r="6" spans="1:9" x14ac:dyDescent="0.25">
      <c r="A6" s="1" t="s">
        <v>6</v>
      </c>
      <c r="B6" t="str">
        <f>VLOOKUP(C6, [1]Tabelle1!A:B, 2, FALSE)</f>
        <v>    {"name": "Rrahmani", "slug": "amir-rrahmani", "role": "DF"},</v>
      </c>
      <c r="C6" t="s">
        <v>8</v>
      </c>
      <c r="D6" t="str">
        <f>IF(IFERROR(IF(VLOOKUP(C6,'[2]Punteggi GW'!A:B,2,FALSE)="S.V.",
IFERROR(VLOOKUP(A6,A$15:E$23,4,FALSE),""),
VLOOKUP(C6,'[2]Punteggi GW'!A:C,3,FALSE)),"")="0","",
IFERROR(IF(VLOOKUP(C6,'[2]Punteggi GW'!A:B,2,FALSE)="S.V.",
IFERROR(IF(VLOOKUP(A6,A$15:E$23,4,FALSE)=0,"",VLOOKUP(A6,A$15:E$23,4,FALSE)),""),
IF(VLOOKUP(C6,'[2]Punteggi GW'!A:C,3,FALSE)=0,"",VLOOKUP(C6,'[2]Punteggi GW'!A:C,3,FALSE))),""))</f>
        <v/>
      </c>
      <c r="E6" s="31" cm="1">
        <f t="array" ref="E6">IFERROR(IF(VLOOKUP(C6,'[2]Punteggi GW'!A:B,2,FALSE)="S.V.",
IFERROR(INDEX(E$15:E$23,_xlfn.AGGREGATE(15,6,(ROW(A$15:A$23)-MIN(ROW(A$15:A$23))+1)/(FIND(A6,A$15:A$23)&gt;0),1)) &amp; " 🔄","S.V."),
VLOOKUP(C6,'[2]Punteggi GW'!A:B,2,FALSE)),"S.V.")</f>
        <v>7.8</v>
      </c>
      <c r="G6" s="14" t="s">
        <v>156</v>
      </c>
      <c r="H6" s="11" t="str" cm="1">
        <f t="array" ref="H6">INDEX($A$2:$A$117,_xlfn.AGGREGATE(15,6,(ROW($E$24:$E$139)-MIN(ROW($E$24:$E$139))+1)/(E$24:$E$139=LARGE($E$24:$E$139,ROW(A4))),1))</f>
        <v>AS MANTRAppata</v>
      </c>
      <c r="I6" s="15">
        <f t="shared" si="0"/>
        <v>87.9</v>
      </c>
    </row>
    <row r="7" spans="1:9" x14ac:dyDescent="0.25">
      <c r="A7" s="2" t="s">
        <v>111</v>
      </c>
      <c r="B7" t="str">
        <f>VLOOKUP(C7, [1]Tabelle1!A:B, 2, FALSE)</f>
        <v>    {"name": "Di Lorenzo", "slug": "giovanni-di-lorenzo", "role": "DF"},</v>
      </c>
      <c r="C7" t="s">
        <v>10</v>
      </c>
      <c r="D7" t="str">
        <f>IF(IFERROR(IF(VLOOKUP(C7,'[2]Punteggi GW'!A:B,2,FALSE)="S.V.",
IFERROR(VLOOKUP(A7,A$15:E$23,4,FALSE),""),
VLOOKUP(C7,'[2]Punteggi GW'!A:C,3,FALSE)),"")="0","",
IFERROR(IF(VLOOKUP(C7,'[2]Punteggi GW'!A:B,2,FALSE)="S.V.",
IFERROR(IF(VLOOKUP(A7,A$15:E$23,4,FALSE)=0,"",VLOOKUP(A7,A$15:E$23,4,FALSE)),""),
IF(VLOOKUP(C7,'[2]Punteggi GW'!A:C,3,FALSE)=0,"",VLOOKUP(C7,'[2]Punteggi GW'!A:C,3,FALSE))),""))</f>
        <v/>
      </c>
      <c r="E7" s="31" cm="1">
        <f t="array" ref="E7">IFERROR(IF(VLOOKUP(C7,'[2]Punteggi GW'!A:B,2,FALSE)="S.V.",
IFERROR(INDEX(E$15:E$23,_xlfn.AGGREGATE(15,6,(ROW(A$15:A$23)-MIN(ROW(A$15:A$23))+1)/(FIND(A7,A$15:A$23)&gt;0),1)) &amp; " 🔄","S.V."),
VLOOKUP(C7,'[2]Punteggi GW'!A:B,2,FALSE)),"S.V.")</f>
        <v>3.5</v>
      </c>
      <c r="G7" s="14" t="s">
        <v>157</v>
      </c>
      <c r="H7" s="11" t="str" cm="1">
        <f t="array" ref="H7">INDEX($A$2:$A$117,_xlfn.AGGREGATE(15,6,(ROW($E$24:$E$139)-MIN(ROW($E$24:$E$139))+1)/(E$24:$E$139=LARGE($E$24:$E$139,ROW(A5))),1))</f>
        <v>Internacional Porco Allegri</v>
      </c>
      <c r="I7" s="15">
        <f t="shared" si="0"/>
        <v>87.2</v>
      </c>
    </row>
    <row r="8" spans="1:9" ht="15.75" thickBot="1" x14ac:dyDescent="0.3">
      <c r="A8" s="2" t="s">
        <v>11</v>
      </c>
      <c r="B8" t="str">
        <f>VLOOKUP(C8, [1]Tabelle1!A:B, 2, FALSE)</f>
        <v>    {"name": "Reijnders", "slug": "tijjani-reijnders", "role": "MF"},</v>
      </c>
      <c r="C8" t="s">
        <v>12</v>
      </c>
      <c r="D8" t="str">
        <f>IF(IFERROR(IF(VLOOKUP(C8,'[2]Punteggi GW'!A:B,2,FALSE)="S.V.",
IFERROR(VLOOKUP(A8,A$15:E$23,4,FALSE),""),
VLOOKUP(C8,'[2]Punteggi GW'!A:C,3,FALSE)),"")="0","",
IFERROR(IF(VLOOKUP(C8,'[2]Punteggi GW'!A:B,2,FALSE)="S.V.",
IFERROR(IF(VLOOKUP(A8,A$15:E$23,4,FALSE)=0,"",VLOOKUP(A8,A$15:E$23,4,FALSE)),""),
IF(VLOOKUP(C8,'[2]Punteggi GW'!A:C,3,FALSE)=0,"",VLOOKUP(C8,'[2]Punteggi GW'!A:C,3,FALSE))),""))</f>
        <v>⚽</v>
      </c>
      <c r="E8" s="31" cm="1">
        <f t="array" ref="E8">IFERROR(IF(VLOOKUP(C8,'[2]Punteggi GW'!A:B,2,FALSE)="S.V.",
IFERROR(INDEX(E$15:E$23,_xlfn.AGGREGATE(15,6,(ROW(A$15:A$23)-MIN(ROW(A$15:A$23))+1)/(FIND(A8,A$15:A$23)&gt;0),1)) &amp; " 🔄","S.V."),
VLOOKUP(C8,'[2]Punteggi GW'!A:B,2,FALSE)),"S.V.")</f>
        <v>23.2</v>
      </c>
      <c r="G8" s="16" t="s">
        <v>158</v>
      </c>
      <c r="H8" s="17" t="str" cm="1">
        <f t="array" ref="H8">INDEX($A$2:$A$117,_xlfn.AGGREGATE(15,6,(ROW($E$24:$E$139)-MIN(ROW($E$24:$E$139))+1)/(E$24:$E$139=LARGE($E$24:$E$139,ROW(A6))),1))</f>
        <v>Hellas Madonna Next Gen</v>
      </c>
      <c r="I8" s="18">
        <f t="shared" si="0"/>
        <v>42.699999999999996</v>
      </c>
    </row>
    <row r="9" spans="1:9" x14ac:dyDescent="0.25">
      <c r="A9" s="2" t="s">
        <v>11</v>
      </c>
      <c r="B9" t="str">
        <f>VLOOKUP(C9, [1]Tabelle1!A:B, 2, FALSE)</f>
        <v>    {"name": "Ederson", "slug": "ederson-jose-dos-santos-lourenco-da-silva", "role": "MF"},</v>
      </c>
      <c r="C9" t="s">
        <v>14</v>
      </c>
      <c r="D9" t="str">
        <f>IF(IFERROR(IF(VLOOKUP(C9,'[2]Punteggi GW'!A:B,2,FALSE)="S.V.",
IFERROR(VLOOKUP(A9,A$15:E$23,4,FALSE),""),
VLOOKUP(C9,'[2]Punteggi GW'!A:C,3,FALSE)),"")="0","",
IFERROR(IF(VLOOKUP(C9,'[2]Punteggi GW'!A:B,2,FALSE)="S.V.",
IFERROR(IF(VLOOKUP(A9,A$15:E$23,4,FALSE)=0,"",VLOOKUP(A9,A$15:E$23,4,FALSE)),""),
IF(VLOOKUP(C9,'[2]Punteggi GW'!A:C,3,FALSE)=0,"",VLOOKUP(C9,'[2]Punteggi GW'!A:C,3,FALSE))),""))</f>
        <v/>
      </c>
      <c r="E9" s="31" cm="1">
        <f t="array" ref="E9">IFERROR(IF(VLOOKUP(C9,'[2]Punteggi GW'!A:B,2,FALSE)="S.V.",
IFERROR(INDEX(E$15:E$23,_xlfn.AGGREGATE(15,6,(ROW(A$15:A$23)-MIN(ROW(A$15:A$23))+1)/(FIND(A9,A$15:A$23)&gt;0),1)) &amp; " 🔄","S.V."),
VLOOKUP(C9,'[2]Punteggi GW'!A:B,2,FALSE)),"S.V.")</f>
        <v>24</v>
      </c>
    </row>
    <row r="10" spans="1:9" x14ac:dyDescent="0.25">
      <c r="A10" s="2" t="s">
        <v>13</v>
      </c>
      <c r="B10" t="str">
        <f>VLOOKUP(C10, [1]Tabelle1!A:B, 2, FALSE)</f>
        <v>    {"name": "De Roon", "slug": "marten-de-roon", "role": "MF"},</v>
      </c>
      <c r="C10" t="s">
        <v>15</v>
      </c>
      <c r="D10" t="str">
        <f>IF(IFERROR(IF(VLOOKUP(C10,'[2]Punteggi GW'!A:B,2,FALSE)="S.V.",
IFERROR(VLOOKUP(A10,A$15:E$23,4,FALSE),""),
VLOOKUP(C10,'[2]Punteggi GW'!A:C,3,FALSE)),"")="0","",
IFERROR(IF(VLOOKUP(C10,'[2]Punteggi GW'!A:B,2,FALSE)="S.V.",
IFERROR(IF(VLOOKUP(A10,A$15:E$23,4,FALSE)=0,"",VLOOKUP(A10,A$15:E$23,4,FALSE)),""),
IF(VLOOKUP(C10,'[2]Punteggi GW'!A:C,3,FALSE)=0,"",VLOOKUP(C10,'[2]Punteggi GW'!A:C,3,FALSE))),""))</f>
        <v/>
      </c>
      <c r="E10" s="31" cm="1">
        <f t="array" ref="E10">IFERROR(IF(VLOOKUP(C10,'[2]Punteggi GW'!A:B,2,FALSE)="S.V.",
IFERROR(INDEX(E$15:E$23,_xlfn.AGGREGATE(15,6,(ROW(A$15:A$23)-MIN(ROW(A$15:A$23))+1)/(FIND(A10,A$15:A$23)&gt;0),1)) &amp; " 🔄","S.V."),
VLOOKUP(C10,'[2]Punteggi GW'!A:B,2,FALSE)),"S.V.")</f>
        <v>22.2</v>
      </c>
    </row>
    <row r="11" spans="1:9" x14ac:dyDescent="0.25">
      <c r="A11" s="2" t="s">
        <v>86</v>
      </c>
      <c r="B11" t="str">
        <f>VLOOKUP(C11, [1]Tabelle1!A:B, 2, FALSE)</f>
        <v>    {"name": "Paz", "slug": "nicolas-paz-martinez", "role": "MF"},</v>
      </c>
      <c r="C11" t="s">
        <v>16</v>
      </c>
      <c r="D11" t="str">
        <f>IF(IFERROR(IF(VLOOKUP(C11,'[2]Punteggi GW'!A:B,2,FALSE)="S.V.",
IFERROR(VLOOKUP(A11,A$15:E$23,4,FALSE),""),
VLOOKUP(C11,'[2]Punteggi GW'!A:C,3,FALSE)),"")="0","",
IFERROR(IF(VLOOKUP(C11,'[2]Punteggi GW'!A:B,2,FALSE)="S.V.",
IFERROR(IF(VLOOKUP(A11,A$15:E$23,4,FALSE)=0,"",VLOOKUP(A11,A$15:E$23,4,FALSE)),""),
IF(VLOOKUP(C11,'[2]Punteggi GW'!A:C,3,FALSE)=0,"",VLOOKUP(C11,'[2]Punteggi GW'!A:C,3,FALSE))),""))</f>
        <v/>
      </c>
      <c r="E11" s="31" cm="1">
        <f t="array" ref="E11">IFERROR(IF(VLOOKUP(C11,'[2]Punteggi GW'!A:B,2,FALSE)="S.V.",
IFERROR(INDEX(E$15:E$23,_xlfn.AGGREGATE(15,6,(ROW(A$15:A$23)-MIN(ROW(A$15:A$23))+1)/(FIND(A11,A$15:A$23)&gt;0),1)) &amp; " 🔄","S.V."),
VLOOKUP(C11,'[2]Punteggi GW'!A:B,2,FALSE)),"S.V.")</f>
        <v>5</v>
      </c>
    </row>
    <row r="12" spans="1:9" x14ac:dyDescent="0.25">
      <c r="A12" s="1" t="s">
        <v>17</v>
      </c>
      <c r="B12" t="str">
        <f>VLOOKUP(C12, [1]Tabelle1!A:B, 2, FALSE)</f>
        <v>    {"name": "Kean", "slug": "moise-bioty-kean", "role": "FW"},</v>
      </c>
      <c r="C12" t="s">
        <v>18</v>
      </c>
      <c r="D12" t="str">
        <f>IF(IFERROR(IF(VLOOKUP(C12,'[2]Punteggi GW'!A:B,2,FALSE)="S.V.",
IFERROR(VLOOKUP(A12,A$15:E$23,4,FALSE),""),
VLOOKUP(C12,'[2]Punteggi GW'!A:C,3,FALSE)),"")="0","",
IFERROR(IF(VLOOKUP(C12,'[2]Punteggi GW'!A:B,2,FALSE)="S.V.",
IFERROR(IF(VLOOKUP(A12,A$15:E$23,4,FALSE)=0,"",VLOOKUP(A12,A$15:E$23,4,FALSE)),""),
IF(VLOOKUP(C12,'[2]Punteggi GW'!A:C,3,FALSE)=0,"",VLOOKUP(C12,'[2]Punteggi GW'!A:C,3,FALSE))),""))</f>
        <v>⚽</v>
      </c>
      <c r="E12" s="31" cm="1">
        <f t="array" ref="E12">IFERROR(IF(VLOOKUP(C12,'[2]Punteggi GW'!A:B,2,FALSE)="S.V.",
IFERROR(INDEX(E$15:E$23,_xlfn.AGGREGATE(15,6,(ROW(A$15:A$23)-MIN(ROW(A$15:A$23))+1)/(FIND(A12,A$15:A$23)&gt;0),1)) &amp; " 🔄","S.V."),
VLOOKUP(C12,'[2]Punteggi GW'!A:B,2,FALSE)),"S.V.")</f>
        <v>6.8</v>
      </c>
    </row>
    <row r="13" spans="1:9" x14ac:dyDescent="0.25">
      <c r="A13" s="3" t="s">
        <v>17</v>
      </c>
      <c r="B13" s="4" t="str">
        <f>VLOOKUP(C13, [1]Tabelle1!A:B, 2, FALSE)</f>
        <v>    {"name": "Thuram M.", "slug": "marcus-thuram", "role": "FW"},</v>
      </c>
      <c r="C13" s="4" t="s">
        <v>19</v>
      </c>
      <c r="D13" s="4" t="str">
        <f>IF(IFERROR(IF(VLOOKUP(C13,'[2]Punteggi GW'!A:B,2,FALSE)="S.V.",
IFERROR(VLOOKUP(A13,A$15:E$23,4,FALSE),""),
VLOOKUP(C13,'[2]Punteggi GW'!A:C,3,FALSE)),"")="0","",
IFERROR(IF(VLOOKUP(C13,'[2]Punteggi GW'!A:B,2,FALSE)="S.V.",
IFERROR(IF(VLOOKUP(A13,A$15:E$23,4,FALSE)=0,"",VLOOKUP(A13,A$15:E$23,4,FALSE)),""),
IF(VLOOKUP(C13,'[2]Punteggi GW'!A:C,3,FALSE)=0,"",VLOOKUP(C13,'[2]Punteggi GW'!A:C,3,FALSE))),""))</f>
        <v/>
      </c>
      <c r="E13" s="32" cm="1">
        <f t="array" ref="E13">IFERROR(IF(VLOOKUP(C13,'[2]Punteggi GW'!A:B,2,FALSE)="S.V.",
IFERROR(INDEX(E$15:E$23,_xlfn.AGGREGATE(15,6,(ROW(A$15:A$23)-MIN(ROW(A$15:A$23))+1)/(FIND(A13,A$15:A$23)&gt;0),1)) &amp; " 🔄","S.V."),
VLOOKUP(C13,'[2]Punteggi GW'!A:B,2,FALSE)),"S.V.")</f>
        <v>11.9</v>
      </c>
    </row>
    <row r="14" spans="1:9" x14ac:dyDescent="0.25">
      <c r="A14" s="9" t="s">
        <v>90</v>
      </c>
      <c r="B14" s="10"/>
      <c r="C14" s="10"/>
      <c r="D14" s="10"/>
      <c r="E14" s="33"/>
    </row>
    <row r="15" spans="1:9" x14ac:dyDescent="0.25">
      <c r="A15" s="5" t="s">
        <v>35</v>
      </c>
      <c r="B15" s="6" t="str">
        <f>VLOOKUP(C15, [1]Tabelle1!A:B, 2, FALSE)</f>
        <v>    {"name": "Dybala", "slug": "paulo-bruno-exequiel-dybala", "role": "FW"},</v>
      </c>
      <c r="C15" s="6" t="s">
        <v>134</v>
      </c>
      <c r="D15" s="6" t="str">
        <f>IFERROR(IF(VLOOKUP(C15,'[2]Punteggi GW'!A:C,3,FALSE)=0,"",
VLOOKUP(C15,'[2]Punteggi GW'!A:C,3,FALSE)),"")</f>
        <v/>
      </c>
      <c r="E15" s="30">
        <f>IFERROR(VLOOKUP(C15,'[2]Punteggi GW'!A:B,2,FALSE),"S.V.")</f>
        <v>5.7</v>
      </c>
    </row>
    <row r="16" spans="1:9" x14ac:dyDescent="0.25">
      <c r="A16" s="1" t="s">
        <v>136</v>
      </c>
      <c r="B16" t="str">
        <f>VLOOKUP(C16, [1]Tabelle1!A:B, 2, FALSE)</f>
        <v>    {"name": "Pulisic", "slug": "christian-pulisic", "role": "FW"},</v>
      </c>
      <c r="C16" t="s">
        <v>135</v>
      </c>
      <c r="D16" t="str">
        <f>IFERROR(IF(VLOOKUP(C16,'[2]Punteggi GW'!A:C,3,FALSE)=0,"",
VLOOKUP(C16,'[2]Punteggi GW'!A:C,3,FALSE)),"")</f>
        <v/>
      </c>
      <c r="E16" s="31">
        <f>IFERROR(VLOOKUP(C16,'[2]Punteggi GW'!A:B,2,FALSE),"S.V.")</f>
        <v>7.8</v>
      </c>
    </row>
    <row r="17" spans="1:5" x14ac:dyDescent="0.25">
      <c r="A17" s="1" t="s">
        <v>86</v>
      </c>
      <c r="B17" t="str">
        <f>VLOOKUP(C17, [1]Tabelle1!A:B, 2, FALSE)</f>
        <v>    {"name": "Colpani", "slug": "andrea-colpani", "role": "MF"},</v>
      </c>
      <c r="C17" t="s">
        <v>137</v>
      </c>
      <c r="D17" t="str">
        <f>IFERROR(IF(VLOOKUP(C17,'[2]Punteggi GW'!A:C,3,FALSE)=0,"",
VLOOKUP(C17,'[2]Punteggi GW'!A:C,3,FALSE)),"")</f>
        <v/>
      </c>
      <c r="E17" s="31" t="str">
        <f>IFERROR(VLOOKUP(C17,'[2]Punteggi GW'!A:B,2,FALSE),"S.V.")</f>
        <v>S.V.</v>
      </c>
    </row>
    <row r="18" spans="1:5" x14ac:dyDescent="0.25">
      <c r="A18" s="1" t="s">
        <v>125</v>
      </c>
      <c r="B18" t="e">
        <f>VLOOKUP(C18, [1]Tabelle1!A:B, 2, FALSE)</f>
        <v>#N/A</v>
      </c>
      <c r="C18" t="s">
        <v>138</v>
      </c>
      <c r="D18" t="str">
        <f>IFERROR(VLOOKUP(C18,'[2]Punteggi GW'!A:C,3,FALSE)," ")</f>
        <v xml:space="preserve"> </v>
      </c>
      <c r="E18" s="31" t="str">
        <f>IFERROR(VLOOKUP(C18,'[2]Punteggi GW'!A:B,2,FALSE),"S.V.")</f>
        <v>S.V.</v>
      </c>
    </row>
    <row r="19" spans="1:5" x14ac:dyDescent="0.25">
      <c r="A19" s="1" t="s">
        <v>6</v>
      </c>
      <c r="B19" t="str">
        <f>VLOOKUP(C19, [1]Tabelle1!A:B, 2, FALSE)</f>
        <v>    {"name": "Djimsiti", "slug": "berat-djimsiti", "role": "DF"},</v>
      </c>
      <c r="C19" t="s">
        <v>92</v>
      </c>
      <c r="D19" t="str">
        <f>IFERROR(VLOOKUP(C19,'[2]Punteggi GW'!A:C,3,FALSE)," ")</f>
        <v>⚽</v>
      </c>
      <c r="E19" s="31">
        <f>IFERROR(VLOOKUP(C19,'[2]Punteggi GW'!A:B,2,FALSE),"S.V.")</f>
        <v>24.6</v>
      </c>
    </row>
    <row r="20" spans="1:5" x14ac:dyDescent="0.25">
      <c r="A20" s="1" t="s">
        <v>6</v>
      </c>
      <c r="B20" t="str">
        <f>VLOOKUP(C20, [1]Tabelle1!A:B, 2, FALSE)</f>
        <v>    {"name": "Gigot", "slug": "samuel-gigot", "role": "DF"},</v>
      </c>
      <c r="C20" t="s">
        <v>93</v>
      </c>
      <c r="D20">
        <f>IFERROR(VLOOKUP(C20,'[2]Punteggi GW'!A:C,3,FALSE)," ")</f>
        <v>0</v>
      </c>
      <c r="E20" s="31">
        <f>IFERROR(VLOOKUP(C20,'[2]Punteggi GW'!A:B,2,FALSE),"S.V.")</f>
        <v>7</v>
      </c>
    </row>
    <row r="21" spans="1:5" x14ac:dyDescent="0.25">
      <c r="A21" s="1" t="s">
        <v>6</v>
      </c>
      <c r="B21" t="str">
        <f>VLOOKUP(C21, [1]Tabelle1!A:B, 2, FALSE)</f>
        <v>    {"name": "Casale", "slug": "nicolo-casale", "role": "DF"},</v>
      </c>
      <c r="C21" t="s">
        <v>139</v>
      </c>
      <c r="D21">
        <f>IFERROR(VLOOKUP(C21,'[2]Punteggi GW'!A:C,3,FALSE)," ")</f>
        <v>0</v>
      </c>
      <c r="E21" s="31" t="str">
        <f>IFERROR(VLOOKUP(C21,'[2]Punteggi GW'!A:B,2,FALSE),"S.V.")</f>
        <v>S.V.</v>
      </c>
    </row>
    <row r="22" spans="1:5" x14ac:dyDescent="0.25">
      <c r="A22" s="1" t="s">
        <v>2</v>
      </c>
      <c r="B22" t="str">
        <f>VLOOKUP(C22, [1]Tabelle1!A:B, 2, FALSE)</f>
        <v>    {"name": "Rui Patricio", "slug": "rui-pedro-dos-santos-patricio", "role": "GK"},</v>
      </c>
      <c r="C22" t="s">
        <v>91</v>
      </c>
      <c r="D22" t="str">
        <f>IFERROR(VLOOKUP(C22,'[2]Punteggi GW'!A:C,3,FALSE)," ")</f>
        <v>🥲x1</v>
      </c>
      <c r="E22" s="31">
        <f>IFERROR(VLOOKUP(C22,'[2]Punteggi GW'!A:B,2,FALSE),"S.V.")</f>
        <v>-0.8</v>
      </c>
    </row>
    <row r="23" spans="1:5" x14ac:dyDescent="0.25">
      <c r="A23" s="3"/>
      <c r="B23" s="4" t="e">
        <f>VLOOKUP(C23, [1]Tabelle1!A:B, 2, FALSE)</f>
        <v>#N/A</v>
      </c>
      <c r="C23" s="4"/>
      <c r="D23" s="4" t="str">
        <f>IFERROR(VLOOKUP(C23,'[2]Punteggi GW'!A:C,3,FALSE)," ")</f>
        <v xml:space="preserve"> </v>
      </c>
      <c r="E23" s="32"/>
    </row>
    <row r="24" spans="1:5" x14ac:dyDescent="0.25">
      <c r="A24" s="4" t="s">
        <v>20</v>
      </c>
      <c r="B24" s="4"/>
      <c r="C24" s="4"/>
      <c r="D24" s="4"/>
      <c r="E24" s="34">
        <f>SUM(E3:E13)</f>
        <v>139.79999999999998</v>
      </c>
    </row>
    <row r="25" spans="1:5" x14ac:dyDescent="0.25">
      <c r="A25" s="7" t="s">
        <v>21</v>
      </c>
      <c r="B25" s="7"/>
      <c r="C25" s="7"/>
      <c r="D25" s="7"/>
      <c r="E25" s="29"/>
    </row>
    <row r="26" spans="1:5" x14ac:dyDescent="0.25">
      <c r="A26" s="5" t="s">
        <v>2</v>
      </c>
      <c r="B26" s="6" t="str">
        <f>VLOOKUP(C26, [1]Tabelle1!A:B, 2, FALSE)</f>
        <v>    {"name": "Sommer", "slug": "yann-sommer", "role": "GK"},</v>
      </c>
      <c r="C26" s="6" t="s">
        <v>22</v>
      </c>
      <c r="D26" s="6" t="str">
        <f>IF(_xlfn.XLOOKUP(C26, '[2]Punteggi GW'!$A:$A, '[2]Punteggi GW'!$C:$C, "N/D")=0, "", _xlfn.XLOOKUP(C26, '[2]Punteggi GW'!$A:$A, '[2]Punteggi GW'!$C:$C, "N/D"))</f>
        <v>🥲x1</v>
      </c>
      <c r="E26" s="30" cm="1">
        <f t="array" ref="E26">IFERROR(IF(VLOOKUP(C26,'[2]Punteggi GW'!A:B,2,FALSE)="S.V.",
IFERROR(INDEX(E$38:E$46,_xlfn.AGGREGATE(15,6,(ROW(A$38:A$46)-MIN(ROW(A$38:A$46))+1)/(FIND(A26,A$38:A$46)&gt;0),1)) &amp; " 🔄","S.V."),
VLOOKUP(C26,'[2]Punteggi GW'!A:B,2,FALSE)),"S.V.")</f>
        <v>3</v>
      </c>
    </row>
    <row r="27" spans="1:5" x14ac:dyDescent="0.25">
      <c r="A27" s="2" t="s">
        <v>9</v>
      </c>
      <c r="B27" t="str">
        <f>VLOOKUP(C27, [1]Tabelle1!A:B, 2, FALSE)</f>
        <v>    {"name": "Savona", "slug": "nicolo-savona", "role": "DF"},</v>
      </c>
      <c r="C27" t="s">
        <v>23</v>
      </c>
      <c r="E27" s="31" cm="1">
        <f t="array" ref="E27">IFERROR(IF(VLOOKUP(C27,'[2]Punteggi GW'!A:B,2,FALSE)="S.V.",
IFERROR(INDEX(E$38:E$46,_xlfn.AGGREGATE(15,6,(ROW(A$38:A$46)-MIN(ROW(A$38:A$46))+1)/(FIND(A27,A$38:A$46)&gt;0),1)) &amp; " 🔄","S.V."),
VLOOKUP(C27,'[2]Punteggi GW'!A:B,2,FALSE)),"S.V.")</f>
        <v>8.3000000000000007</v>
      </c>
    </row>
    <row r="28" spans="1:5" x14ac:dyDescent="0.25">
      <c r="A28" s="1" t="s">
        <v>24</v>
      </c>
      <c r="B28" t="str">
        <f>VLOOKUP(C28, [1]Tabelle1!A:B, 2, FALSE)</f>
        <v>    {"name": "De Winter", "slug": "koni-de-winter", "role": "DF"},</v>
      </c>
      <c r="C28" t="s">
        <v>25</v>
      </c>
      <c r="D28" t="str">
        <f>IF(_xlfn.XLOOKUP(C28, '[2]Punteggi GW'!$A:$A, '[2]Punteggi GW'!$C:$C, "N/D")=0, "", _xlfn.XLOOKUP(C28, '[2]Punteggi GW'!$A:$A, '[2]Punteggi GW'!$C:$C, "N/D"))</f>
        <v>⚽ 🟨</v>
      </c>
      <c r="E28" s="31" cm="1">
        <f t="array" ref="E28">IFERROR(IF(VLOOKUP(C28,'[2]Punteggi GW'!A:B,2,FALSE)="S.V.",
IFERROR(INDEX(E$38:E$46,_xlfn.AGGREGATE(15,6,(ROW(A$38:A$46)-MIN(ROW(A$38:A$46))+1)/(FIND(A28,A$38:A$46)&gt;0),1)) &amp; " 🔄","S.V."),
VLOOKUP(C28,'[2]Punteggi GW'!A:B,2,FALSE)),"S.V.")</f>
        <v>-0.1</v>
      </c>
    </row>
    <row r="29" spans="1:5" x14ac:dyDescent="0.25">
      <c r="A29" s="1" t="s">
        <v>6</v>
      </c>
      <c r="B29" t="str">
        <f>VLOOKUP(C29, [1]Tabelle1!A:B, 2, FALSE)</f>
        <v>    {"name": "Comuzzo", "slug": "pietro-comuzzo", "role": "DF"},</v>
      </c>
      <c r="C29" t="s">
        <v>26</v>
      </c>
      <c r="D29" t="str">
        <f>IF(_xlfn.XLOOKUP(C29, '[2]Punteggi GW'!$A:$A, '[2]Punteggi GW'!$C:$C, "N/D")=0, "", _xlfn.XLOOKUP(C29, '[2]Punteggi GW'!$A:$A, '[2]Punteggi GW'!$C:$C, "N/D"))</f>
        <v>🟨</v>
      </c>
      <c r="E29" s="31" cm="1">
        <f t="array" ref="E29">IFERROR(IF(VLOOKUP(C29,'[2]Punteggi GW'!A:B,2,FALSE)="S.V.",
IFERROR(INDEX(E$38:E$46,_xlfn.AGGREGATE(15,6,(ROW(A$38:A$46)-MIN(ROW(A$38:A$46))+1)/(FIND(A29,A$38:A$46)&gt;0),1)) &amp; " 🔄","S.V."),
VLOOKUP(C29,'[2]Punteggi GW'!A:B,2,FALSE)),"S.V.")</f>
        <v>-0.1</v>
      </c>
    </row>
    <row r="30" spans="1:5" x14ac:dyDescent="0.25">
      <c r="A30" s="2" t="s">
        <v>27</v>
      </c>
      <c r="B30" t="str">
        <f>VLOOKUP(C30, [1]Tabelle1!A:B, 2, FALSE)</f>
        <v>    {"name": "Bellanova", "slug": "raoul-bellanova", "role": "DF"},</v>
      </c>
      <c r="C30" t="s">
        <v>28</v>
      </c>
      <c r="D30" t="str">
        <f>IF(_xlfn.XLOOKUP(C30, '[2]Punteggi GW'!$A:$A, '[2]Punteggi GW'!$C:$C, "N/D")=0, "", _xlfn.XLOOKUP(C30, '[2]Punteggi GW'!$A:$A, '[2]Punteggi GW'!$C:$C, "N/D"))</f>
        <v>👟</v>
      </c>
      <c r="E30" s="31" cm="1">
        <f t="array" ref="E30">IFERROR(IF(VLOOKUP(C30,'[2]Punteggi GW'!A:B,2,FALSE)="S.V.",
IFERROR(INDEX(E$38:E$46,_xlfn.AGGREGATE(15,6,(ROW(A$38:A$46)-MIN(ROW(A$38:A$46))+1)/(FIND(A30,A$38:A$46)&gt;0),1)) &amp; " 🔄","S.V."),
VLOOKUP(C30,'[2]Punteggi GW'!A:B,2,FALSE)),"S.V.")</f>
        <v>19.399999999999999</v>
      </c>
    </row>
    <row r="31" spans="1:5" x14ac:dyDescent="0.25">
      <c r="A31" s="2" t="s">
        <v>13</v>
      </c>
      <c r="B31" t="str">
        <f>VLOOKUP(C31, [1]Tabelle1!A:B, 2, FALSE)</f>
        <v>    {"name": "Thuram K.", "slug": "khephren-thuram-ulien", "role": "MF"},</v>
      </c>
      <c r="C31" t="s">
        <v>29</v>
      </c>
      <c r="D31" t="str">
        <f>IF(_xlfn.XLOOKUP(C31, '[2]Punteggi GW'!$A:$A, '[2]Punteggi GW'!$C:$C, "N/D")=0, "", _xlfn.XLOOKUP(C31, '[2]Punteggi GW'!$A:$A, '[2]Punteggi GW'!$C:$C, "N/D"))</f>
        <v>👟</v>
      </c>
      <c r="E31" s="31" cm="1">
        <f t="array" ref="E31">IFERROR(IF(VLOOKUP(C31,'[2]Punteggi GW'!A:B,2,FALSE)="S.V.",
IFERROR(INDEX(E$38:E$46,_xlfn.AGGREGATE(15,6,(ROW(A$38:A$46)-MIN(ROW(A$38:A$46))+1)/(FIND(A31,A$38:A$46)&gt;0),1)) &amp; " 🔄","S.V."),
VLOOKUP(C31,'[2]Punteggi GW'!A:B,2,FALSE)),"S.V.")</f>
        <v>2.4</v>
      </c>
    </row>
    <row r="32" spans="1:5" x14ac:dyDescent="0.25">
      <c r="A32" s="2" t="s">
        <v>30</v>
      </c>
      <c r="B32" t="str">
        <f>VLOOKUP(C32, [1]Tabelle1!A:B, 2, FALSE)</f>
        <v>    {"name": "Ndoye", "slug": "dan-ndoye", "role": "MF"},</v>
      </c>
      <c r="C32" t="s">
        <v>31</v>
      </c>
      <c r="D32" t="str">
        <f>IF(_xlfn.XLOOKUP(C32, '[2]Punteggi GW'!$A:$A, '[2]Punteggi GW'!$C:$C, "N/D")=0, "", _xlfn.XLOOKUP(C32, '[2]Punteggi GW'!$A:$A, '[2]Punteggi GW'!$C:$C, "N/D"))</f>
        <v>🟨</v>
      </c>
      <c r="E32" s="31" cm="1">
        <f t="array" ref="E32">IFERROR(IF(VLOOKUP(C32,'[2]Punteggi GW'!A:B,2,FALSE)="S.V.",
IFERROR(INDEX(E$38:E$46,_xlfn.AGGREGATE(15,6,(ROW(A$38:A$46)-MIN(ROW(A$38:A$46))+1)/(FIND(A32,A$38:A$46)&gt;0),1)) &amp; " 🔄","S.V."),
VLOOKUP(C32,'[2]Punteggi GW'!A:B,2,FALSE)),"S.V.")</f>
        <v>-5.2</v>
      </c>
    </row>
    <row r="33" spans="1:5" x14ac:dyDescent="0.25">
      <c r="A33" s="2" t="s">
        <v>11</v>
      </c>
      <c r="B33" t="str">
        <f>VLOOKUP(C33, [1]Tabelle1!A:B, 2, FALSE)</f>
        <v>    {"name": "Fazzini", "slug": "jacopo-fazzini", "role": "MF"},</v>
      </c>
      <c r="C33" t="s">
        <v>33</v>
      </c>
      <c r="D33" t="str">
        <f>IF(_xlfn.XLOOKUP(C33, '[2]Punteggi GW'!$A:$A, '[2]Punteggi GW'!$C:$C, "N/D")=0, "", _xlfn.XLOOKUP(C33, '[2]Punteggi GW'!$A:$A, '[2]Punteggi GW'!$C:$C, "N/D"))</f>
        <v/>
      </c>
      <c r="E33" s="31" t="str" cm="1">
        <f t="array" ref="E33">IFERROR(IF(VLOOKUP(C33,'[2]Punteggi GW'!A:B,2,FALSE)="S.V.",
IFERROR(INDEX(E$38:E$46,_xlfn.AGGREGATE(15,6,(ROW(A$38:A$46)-MIN(ROW(A$38:A$46))+1)/(FIND(A33,A$38:A$46)&gt;0),1)) &amp; " 🔄","S.V."),
VLOOKUP(C33,'[2]Punteggi GW'!A:B,2,FALSE)),"S.V.")</f>
        <v>0,7 🔄</v>
      </c>
    </row>
    <row r="34" spans="1:5" x14ac:dyDescent="0.25">
      <c r="A34" s="2" t="s">
        <v>86</v>
      </c>
      <c r="B34" t="str">
        <f>VLOOKUP(C34, [1]Tabelle1!A:B, 2, FALSE)</f>
        <v>    {"name": "Maldini", "slug": "daniel-maldini", "role": "MF"},</v>
      </c>
      <c r="C34" t="s">
        <v>34</v>
      </c>
      <c r="D34" t="str">
        <f>IF(_xlfn.XLOOKUP(C34, '[2]Punteggi GW'!$A:$A, '[2]Punteggi GW'!$C:$C, "N/D")=0, "", _xlfn.XLOOKUP(C34, '[2]Punteggi GW'!$A:$A, '[2]Punteggi GW'!$C:$C, "N/D"))</f>
        <v/>
      </c>
      <c r="E34" s="31" t="str" cm="1">
        <f t="array" ref="E34">IFERROR(IF(VLOOKUP(C34,'[2]Punteggi GW'!A:B,2,FALSE)="S.V.",
IFERROR(INDEX(E$38:E$46,_xlfn.AGGREGATE(15,6,(ROW(A$38:A$46)-MIN(ROW(A$38:A$46))+1)/(FIND(A34,A$38:A$46)&gt;0),1)) &amp; " 🔄","S.V."),
VLOOKUP(C34,'[2]Punteggi GW'!A:B,2,FALSE)),"S.V.")</f>
        <v>34,5 🔄</v>
      </c>
    </row>
    <row r="35" spans="1:5" x14ac:dyDescent="0.25">
      <c r="A35" s="1" t="s">
        <v>35</v>
      </c>
      <c r="B35" t="str">
        <f>VLOOKUP(C35, [1]Tabelle1!A:B, 2, FALSE)</f>
        <v>    {"name": "De Ketelaere", "slug": "charles-de-ketelaere", "role": "MF"},</v>
      </c>
      <c r="C35" t="s">
        <v>36</v>
      </c>
      <c r="D35" t="str">
        <f>IF(_xlfn.XLOOKUP(C35, '[2]Punteggi GW'!$A:$A, '[2]Punteggi GW'!$C:$C, "N/D")=0, "", _xlfn.XLOOKUP(C35, '[2]Punteggi GW'!$A:$A, '[2]Punteggi GW'!$C:$C, "N/D"))</f>
        <v/>
      </c>
      <c r="E35" s="31" cm="1">
        <f t="array" ref="E35">IFERROR(IF(VLOOKUP(C35,'[2]Punteggi GW'!A:B,2,FALSE)="S.V.",
IFERROR(INDEX(E$38:E$46,_xlfn.AGGREGATE(15,6,(ROW(A$38:A$46)-MIN(ROW(A$38:A$46))+1)/(FIND(A35,A$38:A$46)&gt;0),1)) &amp; " 🔄","S.V."),
VLOOKUP(C35,'[2]Punteggi GW'!A:B,2,FALSE)),"S.V.")</f>
        <v>10.6</v>
      </c>
    </row>
    <row r="36" spans="1:5" x14ac:dyDescent="0.25">
      <c r="A36" s="3" t="s">
        <v>17</v>
      </c>
      <c r="B36" s="4" t="str">
        <f>VLOOKUP(C36, [1]Tabelle1!A:B, 2, FALSE)</f>
        <v>    {"name": "Bonny", "slug": "ange-yoan-bonny", "role": "FW"},</v>
      </c>
      <c r="C36" s="4" t="s">
        <v>37</v>
      </c>
      <c r="D36" s="4" t="str">
        <f>IF(_xlfn.XLOOKUP(C36, '[2]Punteggi GW'!$A:$A, '[2]Punteggi GW'!$C:$C, "N/D")=0, "", _xlfn.XLOOKUP(C36, '[2]Punteggi GW'!$A:$A, '[2]Punteggi GW'!$C:$C, "N/D"))</f>
        <v/>
      </c>
      <c r="E36" s="32" cm="1">
        <f t="array" ref="E36">IFERROR(IF(VLOOKUP(C36,'[2]Punteggi GW'!A:B,2,FALSE)="S.V.",
IFERROR(INDEX(E$38:E$46,_xlfn.AGGREGATE(15,6,(ROW(A$38:A$46)-MIN(ROW(A$38:A$46))+1)/(FIND(A36,A$38:A$46)&gt;0),1)) &amp; " 🔄","S.V."),
VLOOKUP(C36,'[2]Punteggi GW'!A:B,2,FALSE)),"S.V.")</f>
        <v>4.4000000000000004</v>
      </c>
    </row>
    <row r="37" spans="1:5" x14ac:dyDescent="0.25">
      <c r="A37" s="8" t="s">
        <v>90</v>
      </c>
      <c r="B37" s="7"/>
      <c r="C37" s="10"/>
      <c r="D37" s="7"/>
      <c r="E37" s="29"/>
    </row>
    <row r="38" spans="1:5" x14ac:dyDescent="0.25">
      <c r="A38" s="5" t="s">
        <v>35</v>
      </c>
      <c r="B38" s="6" t="e">
        <f>VLOOKUP(C38, [1]Tabelle1!A:B, 2, FALSE)</f>
        <v>#N/A</v>
      </c>
      <c r="C38" s="6" t="s">
        <v>140</v>
      </c>
      <c r="D38" s="6" t="str">
        <f>IFERROR(IF(VLOOKUP(C38,'[2]Punteggi GW'!A:C,3,FALSE)=0,"",
VLOOKUP(C38,'[2]Punteggi GW'!A:C,3,FALSE)),"")</f>
        <v/>
      </c>
      <c r="E38" s="30" t="str">
        <f>IFERROR(VLOOKUP(C38,'[2]Punteggi GW'!A:B,2,FALSE),"S.V.")</f>
        <v>S.V.</v>
      </c>
    </row>
    <row r="39" spans="1:5" x14ac:dyDescent="0.25">
      <c r="A39" s="1" t="s">
        <v>11</v>
      </c>
      <c r="B39" t="e">
        <f>VLOOKUP(C39, [1]Tabelle1!A:B, 2, FALSE)</f>
        <v>#N/A</v>
      </c>
      <c r="C39" t="s">
        <v>109</v>
      </c>
      <c r="D39" t="str">
        <f>IFERROR(IF(VLOOKUP(C39,'[2]Punteggi GW'!A:C,3,FALSE)=0,"",
VLOOKUP(C39,'[2]Punteggi GW'!A:C,3,FALSE)),"")</f>
        <v>🟨</v>
      </c>
      <c r="E39" s="31">
        <f>IFERROR(VLOOKUP(C39,'[2]Punteggi GW'!A:B,2,FALSE),"S.V.")</f>
        <v>0.7</v>
      </c>
    </row>
    <row r="40" spans="1:5" x14ac:dyDescent="0.25">
      <c r="A40" s="1" t="s">
        <v>96</v>
      </c>
      <c r="B40" t="str">
        <f>VLOOKUP(C40, [1]Tabelle1!A:B, 2, FALSE)</f>
        <v>    {"name": "Zortea", "slug": "nadir-zortea", "role": "DF"},</v>
      </c>
      <c r="C40" t="s">
        <v>95</v>
      </c>
      <c r="D40" t="str">
        <f>IFERROR(IF(VLOOKUP(C40,'[2]Punteggi GW'!A:C,3,FALSE)=0,"",
VLOOKUP(C40,'[2]Punteggi GW'!A:C,3,FALSE)),"")</f>
        <v/>
      </c>
      <c r="E40" s="31">
        <f>IFERROR(VLOOKUP(C40,'[2]Punteggi GW'!A:B,2,FALSE),"S.V.")</f>
        <v>-6.8</v>
      </c>
    </row>
    <row r="41" spans="1:5" x14ac:dyDescent="0.25">
      <c r="A41" s="1" t="s">
        <v>13</v>
      </c>
      <c r="B41" t="e">
        <f>VLOOKUP(C41, [1]Tabelle1!A:B, 2, FALSE)</f>
        <v>#N/A</v>
      </c>
      <c r="C41" t="s">
        <v>141</v>
      </c>
      <c r="D41" t="str">
        <f>IFERROR(VLOOKUP(C41,'[2]Punteggi GW'!A:C,3,FALSE)," ")</f>
        <v xml:space="preserve"> </v>
      </c>
      <c r="E41" s="31" t="str">
        <f>IFERROR(VLOOKUP(C41,'[2]Punteggi GW'!A:B,2,FALSE),"S.V.")</f>
        <v>S.V.</v>
      </c>
    </row>
    <row r="42" spans="1:5" x14ac:dyDescent="0.25">
      <c r="A42" s="1" t="s">
        <v>102</v>
      </c>
      <c r="B42" t="str">
        <f>VLOOKUP(C42, [1]Tabelle1!A:B, 2, FALSE)</f>
        <v>    {"name": "Soule'", "slug": "matias-soule-malvano", "role": "FW"},</v>
      </c>
      <c r="C42" t="s">
        <v>144</v>
      </c>
      <c r="D42">
        <f>IFERROR(VLOOKUP(C42,'[2]Punteggi GW'!A:C,3,FALSE)," ")</f>
        <v>0</v>
      </c>
      <c r="E42" s="31">
        <f>IFERROR(VLOOKUP(C42,'[2]Punteggi GW'!A:B,2,FALSE),"S.V.")</f>
        <v>7.1</v>
      </c>
    </row>
    <row r="43" spans="1:5" x14ac:dyDescent="0.25">
      <c r="A43" s="1" t="s">
        <v>6</v>
      </c>
      <c r="B43" t="str">
        <f>VLOOKUP(C43, [1]Tabelle1!A:B, 2, FALSE)</f>
        <v>    {"name": "Coppola D.", "slug": "diego-coppola", "role": "DF"},</v>
      </c>
      <c r="C43" t="s">
        <v>143</v>
      </c>
      <c r="D43" t="str">
        <f>IFERROR(VLOOKUP(C43,'[2]Punteggi GW'!A:C,3,FALSE)," ")</f>
        <v>🧱</v>
      </c>
      <c r="E43" s="31">
        <f>IFERROR(VLOOKUP(C43,'[2]Punteggi GW'!A:B,2,FALSE),"S.V.")</f>
        <v>23.4</v>
      </c>
    </row>
    <row r="44" spans="1:5" x14ac:dyDescent="0.25">
      <c r="A44" s="1" t="s">
        <v>6</v>
      </c>
      <c r="B44" t="str">
        <f>VLOOKUP(C44, [1]Tabelle1!A:B, 2, FALSE)</f>
        <v>    {"name": "Viti", "slug": "mattia-viti", "role": "DF"},</v>
      </c>
      <c r="C44" t="s">
        <v>145</v>
      </c>
      <c r="D44">
        <f>IFERROR(VLOOKUP(C44,'[2]Punteggi GW'!A:C,3,FALSE)," ")</f>
        <v>0</v>
      </c>
      <c r="E44" s="31" t="str">
        <f>IFERROR(VLOOKUP(C44,'[2]Punteggi GW'!A:B,2,FALSE),"S.V.")</f>
        <v>S.V.</v>
      </c>
    </row>
    <row r="45" spans="1:5" x14ac:dyDescent="0.25">
      <c r="A45" s="1" t="s">
        <v>142</v>
      </c>
      <c r="B45" t="str">
        <f>VLOOKUP(C45, [1]Tabelle1!A:B, 2, FALSE)</f>
        <v>    {"name": "Suslov", "slug": "tomas-suslov", "role": "MF"},</v>
      </c>
      <c r="C45" t="s">
        <v>94</v>
      </c>
      <c r="D45" t="str">
        <f>IFERROR(VLOOKUP(C45,'[2]Punteggi GW'!A:C,3,FALSE)," ")</f>
        <v>🕺</v>
      </c>
      <c r="E45" s="31">
        <f>IFERROR(VLOOKUP(C45,'[2]Punteggi GW'!A:B,2,FALSE),"S.V.")</f>
        <v>34.5</v>
      </c>
    </row>
    <row r="46" spans="1:5" x14ac:dyDescent="0.25">
      <c r="A46" s="3" t="s">
        <v>2</v>
      </c>
      <c r="B46" s="4" t="str">
        <f>VLOOKUP(C46, [1]Tabelle1!A:B, 2, FALSE)</f>
        <v>    {"name": "Pizzignacco", "slug": "semuel-pizzignacco", "role": "GK"},</v>
      </c>
      <c r="C46" s="4" t="s">
        <v>146</v>
      </c>
      <c r="D46" s="4">
        <f>IFERROR(VLOOKUP(C46,'[2]Punteggi GW'!A:C,3,FALSE)," ")</f>
        <v>0</v>
      </c>
      <c r="E46" s="32">
        <f>IFERROR(VLOOKUP(C46,'[2]Punteggi GW'!A:B,2,FALSE),"S.V.")</f>
        <v>6.2</v>
      </c>
    </row>
    <row r="47" spans="1:5" x14ac:dyDescent="0.25">
      <c r="A47" s="4" t="s">
        <v>20</v>
      </c>
      <c r="B47" s="4"/>
      <c r="C47" s="4"/>
      <c r="D47" s="4"/>
      <c r="E47" s="34">
        <f>SUM(E26:E36)</f>
        <v>42.699999999999996</v>
      </c>
    </row>
    <row r="48" spans="1:5" x14ac:dyDescent="0.25">
      <c r="A48" s="7" t="s">
        <v>38</v>
      </c>
      <c r="B48" s="7"/>
      <c r="C48" s="7"/>
      <c r="D48" s="7"/>
      <c r="E48" s="29"/>
    </row>
    <row r="49" spans="1:5" x14ac:dyDescent="0.25">
      <c r="A49" s="5" t="s">
        <v>2</v>
      </c>
      <c r="B49" s="6" t="str">
        <f>VLOOKUP(C49, [1]Tabelle1!A:B, 2, FALSE)</f>
        <v>    {"name": "Di Gregorio", "slug": "michele-di-gregorio", "role": "GK"},</v>
      </c>
      <c r="C49" s="6" t="s">
        <v>39</v>
      </c>
      <c r="D49" s="6" t="str">
        <f>IF(_xlfn.XLOOKUP(C49, '[2]Punteggi GW'!$A:$A, '[2]Punteggi GW'!$C:$C, "N/D")=0, "", _xlfn.XLOOKUP(C49, '[2]Punteggi GW'!$A:$A, '[2]Punteggi GW'!$C:$C, "N/D"))</f>
        <v>🥲x1</v>
      </c>
      <c r="E49" s="30" cm="1">
        <f t="array" ref="E49">IFERROR(IF(VLOOKUP(C49,'[2]Punteggi GW'!A:B,2,FALSE)="S.V.",
IFERROR(INDEX(E$61:E$69,_xlfn.AGGREGATE(15,6,(ROW(A$61:A$69)-MIN(ROW(A$61:A$69))+1)/(FIND(A49,A$61:A$69)&gt;0),1)) &amp; " 🔄","S.V."),
VLOOKUP(C49,'[2]Punteggi GW'!A:B,2,FALSE)),"S.V.")</f>
        <v>0.6</v>
      </c>
    </row>
    <row r="50" spans="1:5" x14ac:dyDescent="0.25">
      <c r="A50" s="2" t="s">
        <v>6</v>
      </c>
      <c r="B50" t="str">
        <f>VLOOKUP(C50, [1]Tabelle1!A:B, 2, FALSE)</f>
        <v>    {"name": "Buongiorno", "slug": "alessandro-buongiorno", "role": "DF"},</v>
      </c>
      <c r="C50" t="s">
        <v>40</v>
      </c>
      <c r="D50" t="str">
        <f>IF(_xlfn.XLOOKUP(C50, '[2]Punteggi GW'!$A:$A, '[2]Punteggi GW'!$C:$C, "N/D")=0, "", _xlfn.XLOOKUP(C50, '[2]Punteggi GW'!$A:$A, '[2]Punteggi GW'!$C:$C, "N/D"))</f>
        <v/>
      </c>
      <c r="E50" s="31" t="str" cm="1">
        <f t="array" ref="E50">IFERROR(IF(VLOOKUP(C50,'[2]Punteggi GW'!A:B,2,FALSE)="S.V.",
IFERROR(INDEX(E$61:E$69,_xlfn.AGGREGATE(15,6,(ROW(A$61:A$69)-MIN(ROW(A$61:A$69))+1)/(FIND(A50,A$61:A$69)&gt;0),1)) &amp; " 🔄","S.V."),
VLOOKUP(C50,'[2]Punteggi GW'!A:B,2,FALSE)),"S.V.")</f>
        <v>10,7 🔄</v>
      </c>
    </row>
    <row r="51" spans="1:5" x14ac:dyDescent="0.25">
      <c r="A51" s="1" t="s">
        <v>6</v>
      </c>
      <c r="B51" t="str">
        <f>VLOOKUP(C51, [1]Tabelle1!A:B, 2, FALSE)</f>
        <v>    {"name": "Mancini", "slug": "gianluca-mancini", "role": "DF"},</v>
      </c>
      <c r="C51" t="s">
        <v>41</v>
      </c>
      <c r="D51" t="str">
        <f>IF(_xlfn.XLOOKUP(C51, '[2]Punteggi GW'!$A:$A, '[2]Punteggi GW'!$C:$C, "N/D")=0, "", _xlfn.XLOOKUP(C51, '[2]Punteggi GW'!$A:$A, '[2]Punteggi GW'!$C:$C, "N/D"))</f>
        <v/>
      </c>
      <c r="E51" s="31" cm="1">
        <f t="array" ref="E51">IFERROR(IF(VLOOKUP(C51,'[2]Punteggi GW'!A:B,2,FALSE)="S.V.",
IFERROR(INDEX(E$61:E$69,_xlfn.AGGREGATE(15,6,(ROW(A$61:A$69)-MIN(ROW(A$61:A$69))+1)/(FIND(A51,A$61:A$69)&gt;0),1)) &amp; " 🔄","S.V."),
VLOOKUP(C51,'[2]Punteggi GW'!A:B,2,FALSE)),"S.V.")</f>
        <v>14.2</v>
      </c>
    </row>
    <row r="52" spans="1:5" x14ac:dyDescent="0.25">
      <c r="A52" s="1" t="s">
        <v>6</v>
      </c>
      <c r="B52" t="str">
        <f>VLOOKUP(C52, [1]Tabelle1!A:B, 2, FALSE)</f>
        <v>    {"name": "Bijol", "slug": "jaka-bijol", "role": "DF"},</v>
      </c>
      <c r="C52" t="s">
        <v>42</v>
      </c>
      <c r="D52" t="str">
        <f>IF(_xlfn.XLOOKUP(C52, '[2]Punteggi GW'!$A:$A, '[2]Punteggi GW'!$C:$C, "N/D")=0, "", _xlfn.XLOOKUP(C52, '[2]Punteggi GW'!$A:$A, '[2]Punteggi GW'!$C:$C, "N/D"))</f>
        <v>🟨</v>
      </c>
      <c r="E52" s="31" cm="1">
        <f t="array" ref="E52">IFERROR(IF(VLOOKUP(C52,'[2]Punteggi GW'!A:B,2,FALSE)="S.V.",
IFERROR(INDEX(E$61:E$69,_xlfn.AGGREGATE(15,6,(ROW(A$61:A$69)-MIN(ROW(A$61:A$69))+1)/(FIND(A52,A$61:A$69)&gt;0),1)) &amp; " 🔄","S.V."),
VLOOKUP(C52,'[2]Punteggi GW'!A:B,2,FALSE)),"S.V.")</f>
        <v>4.3</v>
      </c>
    </row>
    <row r="53" spans="1:5" x14ac:dyDescent="0.25">
      <c r="A53" s="2" t="s">
        <v>27</v>
      </c>
      <c r="B53" t="str">
        <f>VLOOKUP(C53, [1]Tabelle1!A:B, 2, FALSE)</f>
        <v>    {"name": "Spinazzola", "slug": "leonardo-spinazzola", "role": "DF"},</v>
      </c>
      <c r="C53" t="s">
        <v>43</v>
      </c>
      <c r="D53" t="str">
        <f>IF(_xlfn.XLOOKUP(C53, '[2]Punteggi GW'!$A:$A, '[2]Punteggi GW'!$C:$C, "N/D")=0, "", _xlfn.XLOOKUP(C53, '[2]Punteggi GW'!$A:$A, '[2]Punteggi GW'!$C:$C, "N/D"))</f>
        <v>⚽</v>
      </c>
      <c r="E53" s="31" cm="1">
        <f t="array" ref="E53">IFERROR(IF(VLOOKUP(C53,'[2]Punteggi GW'!A:B,2,FALSE)="S.V.",
IFERROR(INDEX(E$61:E$69,_xlfn.AGGREGATE(15,6,(ROW(A$61:A$69)-MIN(ROW(A$61:A$69))+1)/(FIND(A53,A$61:A$69)&gt;0),1)) &amp; " 🔄","S.V."),
VLOOKUP(C53,'[2]Punteggi GW'!A:B,2,FALSE)),"S.V.")</f>
        <v>6.7</v>
      </c>
    </row>
    <row r="54" spans="1:5" x14ac:dyDescent="0.25">
      <c r="A54" s="2" t="s">
        <v>13</v>
      </c>
      <c r="B54" t="str">
        <f>VLOOKUP(C54, [1]Tabelle1!A:B, 2, FALSE)</f>
        <v>    {"name": "Brescianini", "slug": "marco-brescianini", "role": "MF"},</v>
      </c>
      <c r="C54" t="s">
        <v>44</v>
      </c>
      <c r="D54" t="str">
        <f>IF(_xlfn.XLOOKUP(C54, '[2]Punteggi GW'!$A:$A, '[2]Punteggi GW'!$C:$C, "N/D")=0, "", _xlfn.XLOOKUP(C54, '[2]Punteggi GW'!$A:$A, '[2]Punteggi GW'!$C:$C, "N/D"))</f>
        <v/>
      </c>
      <c r="E54" s="31" cm="1">
        <f t="array" ref="E54">IFERROR(IF(VLOOKUP(C54,'[2]Punteggi GW'!A:B,2,FALSE)="S.V.",
IFERROR(INDEX(E$61:E$69,_xlfn.AGGREGATE(15,6,(ROW(A$61:A$69)-MIN(ROW(A$61:A$69))+1)/(FIND(A54,A$61:A$69)&gt;0),1)) &amp; " 🔄","S.V."),
VLOOKUP(C54,'[2]Punteggi GW'!A:B,2,FALSE)),"S.V.")</f>
        <v>5.0999999999999996</v>
      </c>
    </row>
    <row r="55" spans="1:5" x14ac:dyDescent="0.25">
      <c r="A55" s="2" t="s">
        <v>13</v>
      </c>
      <c r="B55" t="str">
        <f>VLOOKUP(C55, [1]Tabelle1!A:B, 2, FALSE)</f>
        <v>    {"name": "McTominay", "slug": "scott-mctominay", "role": "MF"},</v>
      </c>
      <c r="C55" t="s">
        <v>45</v>
      </c>
      <c r="D55" t="str">
        <f>IF(_xlfn.XLOOKUP(C55, '[2]Punteggi GW'!$A:$A, '[2]Punteggi GW'!$C:$C, "N/D")=0, "", _xlfn.XLOOKUP(C55, '[2]Punteggi GW'!$A:$A, '[2]Punteggi GW'!$C:$C, "N/D"))</f>
        <v/>
      </c>
      <c r="E55" s="31" cm="1">
        <f t="array" ref="E55">IFERROR(IF(VLOOKUP(C55,'[2]Punteggi GW'!A:B,2,FALSE)="S.V.",
IFERROR(INDEX(E$61:E$69,_xlfn.AGGREGATE(15,6,(ROW(A$61:A$69)-MIN(ROW(A$61:A$69))+1)/(FIND(A55,A$61:A$69)&gt;0),1)) &amp; " 🔄","S.V."),
VLOOKUP(C55,'[2]Punteggi GW'!A:B,2,FALSE)),"S.V.")</f>
        <v>14.1</v>
      </c>
    </row>
    <row r="56" spans="1:5" x14ac:dyDescent="0.25">
      <c r="A56" s="2" t="s">
        <v>27</v>
      </c>
      <c r="B56" t="str">
        <f>VLOOKUP(C56, [1]Tabelle1!A:B, 2, FALSE)</f>
        <v>    {"name": "Gosens", "slug": "robin-gosens", "role": "DF"},</v>
      </c>
      <c r="C56" t="s">
        <v>46</v>
      </c>
      <c r="D56" t="str">
        <f>IF(_xlfn.XLOOKUP(C56, '[2]Punteggi GW'!$A:$A, '[2]Punteggi GW'!$C:$C, "N/D")=0, "", _xlfn.XLOOKUP(C56, '[2]Punteggi GW'!$A:$A, '[2]Punteggi GW'!$C:$C, "N/D"))</f>
        <v>👟</v>
      </c>
      <c r="E56" s="31" cm="1">
        <f t="array" ref="E56">IFERROR(IF(VLOOKUP(C56,'[2]Punteggi GW'!A:B,2,FALSE)="S.V.",
IFERROR(INDEX(E$61:E$69,_xlfn.AGGREGATE(15,6,(ROW(A$61:A$69)-MIN(ROW(A$61:A$69))+1)/(FIND(A56,A$61:A$69)&gt;0),1)) &amp; " 🔄","S.V."),
VLOOKUP(C56,'[2]Punteggi GW'!A:B,2,FALSE)),"S.V.")</f>
        <v>16.8</v>
      </c>
    </row>
    <row r="57" spans="1:5" x14ac:dyDescent="0.25">
      <c r="A57" s="2" t="s">
        <v>47</v>
      </c>
      <c r="B57" t="str">
        <f>VLOOKUP(C57, [1]Tabelle1!A:B, 2, FALSE)</f>
        <v>    {"name": "Neres", "slug": "david-neres-campos", "role": "FW"},</v>
      </c>
      <c r="C57" t="s">
        <v>48</v>
      </c>
      <c r="D57" t="str">
        <f>IF(_xlfn.XLOOKUP(C57, '[2]Punteggi GW'!$A:$A, '[2]Punteggi GW'!$C:$C, "N/D")=0, "", _xlfn.XLOOKUP(C57, '[2]Punteggi GW'!$A:$A, '[2]Punteggi GW'!$C:$C, "N/D"))</f>
        <v/>
      </c>
      <c r="E57" s="31" cm="1">
        <f t="array" ref="E57">IFERROR(IF(VLOOKUP(C57,'[2]Punteggi GW'!A:B,2,FALSE)="S.V.",
IFERROR(INDEX(E$61:E$69,_xlfn.AGGREGATE(15,6,(ROW(A$61:A$69)-MIN(ROW(A$61:A$69))+1)/(FIND(A57,A$61:A$69)&gt;0),1)) &amp; " 🔄","S.V."),
VLOOKUP(C57,'[2]Punteggi GW'!A:B,2,FALSE)),"S.V.")</f>
        <v>8.6</v>
      </c>
    </row>
    <row r="58" spans="1:5" x14ac:dyDescent="0.25">
      <c r="A58" s="1" t="s">
        <v>35</v>
      </c>
      <c r="B58" t="str">
        <f>VLOOKUP(C58, [1]Tabelle1!A:B, 2, FALSE)</f>
        <v>    {"name": "Gudmundsson A.", "slug": "albert-gudmundsson", "role": "FW"},</v>
      </c>
      <c r="C58" t="s">
        <v>49</v>
      </c>
      <c r="D58" t="str">
        <f>IF(_xlfn.XLOOKUP(C58, '[2]Punteggi GW'!$A:$A, '[2]Punteggi GW'!$C:$C, "N/D")=0, "", _xlfn.XLOOKUP(C58, '[2]Punteggi GW'!$A:$A, '[2]Punteggi GW'!$C:$C, "N/D"))</f>
        <v>⚽</v>
      </c>
      <c r="E58" s="31" cm="1">
        <f t="array" ref="E58">IFERROR(IF(VLOOKUP(C58,'[2]Punteggi GW'!A:B,2,FALSE)="S.V.",
IFERROR(INDEX(E$61:E$69,_xlfn.AGGREGATE(15,6,(ROW(A$61:A$69)-MIN(ROW(A$61:A$69))+1)/(FIND(A58,A$61:A$69)&gt;0),1)) &amp; " 🔄","S.V."),
VLOOKUP(C58,'[2]Punteggi GW'!A:B,2,FALSE)),"S.V.")</f>
        <v>18.600000000000001</v>
      </c>
    </row>
    <row r="59" spans="1:5" x14ac:dyDescent="0.25">
      <c r="A59" s="3" t="s">
        <v>17</v>
      </c>
      <c r="B59" s="4" t="str">
        <f>VLOOKUP(C59, [1]Tabelle1!A:B, 2, FALSE)</f>
        <v>    {"name": "Dovbyk", "slug": "artem-dovbyk", "role": "FW"},</v>
      </c>
      <c r="C59" s="4" t="s">
        <v>50</v>
      </c>
      <c r="D59" s="4" t="str">
        <f>IF(_xlfn.XLOOKUP(C59, '[2]Punteggi GW'!$A:$A, '[2]Punteggi GW'!$C:$C, "N/D")=0, "", _xlfn.XLOOKUP(C59, '[2]Punteggi GW'!$A:$A, '[2]Punteggi GW'!$C:$C, "N/D"))</f>
        <v/>
      </c>
      <c r="E59" s="32" cm="1">
        <f t="array" ref="E59">IFERROR(IF(VLOOKUP(C59,'[2]Punteggi GW'!A:B,2,FALSE)="S.V.",
IFERROR(INDEX(E$61:E$69,_xlfn.AGGREGATE(15,6,(ROW(A$61:A$69)-MIN(ROW(A$61:A$69))+1)/(FIND(A59,A$61:A$69)&gt;0),1)) &amp; " 🔄","S.V."),
VLOOKUP(C59,'[2]Punteggi GW'!A:B,2,FALSE)),"S.V.")</f>
        <v>-1.8</v>
      </c>
    </row>
    <row r="60" spans="1:5" x14ac:dyDescent="0.25">
      <c r="A60" s="8" t="s">
        <v>90</v>
      </c>
      <c r="B60" s="7"/>
      <c r="C60" s="10"/>
      <c r="D60" s="7"/>
      <c r="E60" s="29"/>
    </row>
    <row r="61" spans="1:5" x14ac:dyDescent="0.25">
      <c r="A61" s="5" t="s">
        <v>2</v>
      </c>
      <c r="B61" s="6" t="str">
        <f>VLOOKUP(C61, [1]Tabelle1!A:B, 2, FALSE)</f>
        <v>    {"name": "Skorupski", "slug": "lukasz-skorupski", "role": "GK"},</v>
      </c>
      <c r="C61" s="6" t="s">
        <v>129</v>
      </c>
      <c r="D61" s="6" t="str">
        <f>IFERROR(IF(VLOOKUP(C61,'[2]Punteggi GW'!A:C,3,FALSE)=0,"",
VLOOKUP(C61,'[2]Punteggi GW'!A:C,3,FALSE)),"")</f>
        <v>🧱</v>
      </c>
      <c r="E61" s="30">
        <f>IFERROR(VLOOKUP(C61,'[2]Punteggi GW'!A:B,2,FALSE),"S.V.")</f>
        <v>8.1999999999999993</v>
      </c>
    </row>
    <row r="62" spans="1:5" x14ac:dyDescent="0.25">
      <c r="A62" s="1" t="s">
        <v>35</v>
      </c>
      <c r="B62" t="str">
        <f>VLOOKUP(C62, [1]Tabelle1!A:B, 2, FALSE)</f>
        <v>    {"name": "Yildiz", "slug": "kenan-yildiz", "role": "FW"},</v>
      </c>
      <c r="C62" t="s">
        <v>130</v>
      </c>
      <c r="D62" t="str">
        <f>IFERROR(IF(VLOOKUP(C62,'[2]Punteggi GW'!A:C,3,FALSE)=0,"",
VLOOKUP(C62,'[2]Punteggi GW'!A:C,3,FALSE)),"")</f>
        <v/>
      </c>
      <c r="E62" s="31">
        <f>IFERROR(VLOOKUP(C62,'[2]Punteggi GW'!A:B,2,FALSE),"S.V.")</f>
        <v>11.2</v>
      </c>
    </row>
    <row r="63" spans="1:5" x14ac:dyDescent="0.25">
      <c r="A63" s="1" t="s">
        <v>6</v>
      </c>
      <c r="B63" t="str">
        <f>VLOOKUP(C63, [1]Tabelle1!A:B, 2, FALSE)</f>
        <v>    {"name": "Valeri", "slug": "emanuele-valeri", "role": "DF"},</v>
      </c>
      <c r="C63" t="s">
        <v>97</v>
      </c>
      <c r="D63" t="str">
        <f>IFERROR(IF(VLOOKUP(C63,'[2]Punteggi GW'!A:C,3,FALSE)=0,"",
VLOOKUP(C63,'[2]Punteggi GW'!A:C,3,FALSE)),"")</f>
        <v>⚽</v>
      </c>
      <c r="E63" s="31">
        <f>IFERROR(VLOOKUP(C63,'[2]Punteggi GW'!A:B,2,FALSE),"S.V.")</f>
        <v>10.7</v>
      </c>
    </row>
    <row r="64" spans="1:5" x14ac:dyDescent="0.25">
      <c r="A64" s="1" t="s">
        <v>104</v>
      </c>
      <c r="B64" t="str">
        <f>VLOOKUP(C64, [1]Tabelle1!A:B, 2, FALSE)</f>
        <v>    {"name": "Fabbian", "slug": "giovanni-fabbian", "role": "MF"},</v>
      </c>
      <c r="C64" t="s">
        <v>131</v>
      </c>
      <c r="D64" t="str">
        <f>IFERROR(VLOOKUP(C64,'[2]Punteggi GW'!A:C,3,FALSE)," ")</f>
        <v>⚽</v>
      </c>
      <c r="E64" s="31">
        <f>IFERROR(VLOOKUP(C64,'[2]Punteggi GW'!A:B,2,FALSE),"S.V.")</f>
        <v>6.1</v>
      </c>
    </row>
    <row r="65" spans="1:5" x14ac:dyDescent="0.25">
      <c r="A65" s="1" t="s">
        <v>104</v>
      </c>
      <c r="B65" t="str">
        <f>VLOOKUP(C65, [1]Tabelle1!A:B, 2, FALSE)</f>
        <v>    {"name": "Zurkowski", "slug": "szymon-zurkowski", "role": "MF"},</v>
      </c>
      <c r="C65" t="s">
        <v>132</v>
      </c>
      <c r="D65">
        <f>IFERROR(VLOOKUP(C65,'[2]Punteggi GW'!A:C,3,FALSE)," ")</f>
        <v>0</v>
      </c>
      <c r="E65" s="31">
        <f>IFERROR(VLOOKUP(C65,'[2]Punteggi GW'!A:B,2,FALSE),"S.V.")</f>
        <v>-2.5</v>
      </c>
    </row>
    <row r="66" spans="1:5" x14ac:dyDescent="0.25">
      <c r="A66" s="1" t="s">
        <v>125</v>
      </c>
      <c r="B66" t="str">
        <f>VLOOKUP(C66, [1]Tabelle1!A:B, 2, FALSE)</f>
        <v>    {"name": "Olivera", "slug": "mathias-olivera-miramontes", "role": "DF"},</v>
      </c>
      <c r="C66" t="s">
        <v>133</v>
      </c>
      <c r="D66">
        <f>IFERROR(VLOOKUP(C66,'[2]Punteggi GW'!A:C,3,FALSE)," ")</f>
        <v>0</v>
      </c>
      <c r="E66" s="31" t="str">
        <f>IFERROR(VLOOKUP(C66,'[2]Punteggi GW'!A:B,2,FALSE),"S.V.")</f>
        <v>S.V.</v>
      </c>
    </row>
    <row r="67" spans="1:5" x14ac:dyDescent="0.25">
      <c r="A67" s="1" t="s">
        <v>125</v>
      </c>
      <c r="B67" t="str">
        <f>VLOOKUP(C67, [1]Tabelle1!A:B, 2, FALSE)</f>
        <v>    {"name": "Zanoli", "slug": "alessandro-zanoli", "role": "DF"},</v>
      </c>
      <c r="C67" t="s">
        <v>98</v>
      </c>
      <c r="D67">
        <f>IFERROR(VLOOKUP(C67,'[2]Punteggi GW'!A:C,3,FALSE)," ")</f>
        <v>0</v>
      </c>
      <c r="E67" s="31" t="str">
        <f>IFERROR(VLOOKUP(C67,'[2]Punteggi GW'!A:B,2,FALSE),"S.V.")</f>
        <v>S.V.</v>
      </c>
    </row>
    <row r="68" spans="1:5" x14ac:dyDescent="0.25">
      <c r="A68" s="1"/>
      <c r="B68" t="e">
        <f>VLOOKUP(C68, [1]Tabelle1!A:B, 2, FALSE)</f>
        <v>#N/A</v>
      </c>
      <c r="D68" t="str">
        <f>IFERROR(VLOOKUP(C68,'[2]Punteggi GW'!A:C,3,FALSE)," ")</f>
        <v xml:space="preserve"> </v>
      </c>
      <c r="E68" s="31"/>
    </row>
    <row r="69" spans="1:5" x14ac:dyDescent="0.25">
      <c r="A69" s="3"/>
      <c r="B69" s="4" t="e">
        <f>VLOOKUP(C69, [1]Tabelle1!A:B, 2, FALSE)</f>
        <v>#N/A</v>
      </c>
      <c r="C69" s="4"/>
      <c r="D69" s="4" t="str">
        <f>IFERROR(VLOOKUP(C69,'[2]Punteggi GW'!A:C,3,FALSE)," ")</f>
        <v xml:space="preserve"> </v>
      </c>
      <c r="E69" s="32"/>
    </row>
    <row r="70" spans="1:5" x14ac:dyDescent="0.25">
      <c r="A70" s="4" t="s">
        <v>20</v>
      </c>
      <c r="B70" s="4"/>
      <c r="C70" s="4"/>
      <c r="D70" s="4"/>
      <c r="E70" s="34">
        <f>SUM(E49:E59)</f>
        <v>87.2</v>
      </c>
    </row>
    <row r="71" spans="1:5" x14ac:dyDescent="0.25">
      <c r="A71" s="7" t="s">
        <v>51</v>
      </c>
      <c r="B71" s="7"/>
      <c r="C71" s="7"/>
      <c r="D71" s="7"/>
      <c r="E71" s="29"/>
    </row>
    <row r="72" spans="1:5" x14ac:dyDescent="0.25">
      <c r="A72" s="5" t="s">
        <v>2</v>
      </c>
      <c r="B72" s="6" t="str">
        <f>VLOOKUP(C72, [1]Tabelle1!A:B, 2, FALSE)</f>
        <v>    {"name": "Meret", "slug": "alex-meret", "role": "GK"},</v>
      </c>
      <c r="C72" s="6" t="s">
        <v>52</v>
      </c>
      <c r="D72" s="6" t="str">
        <f>IF(_xlfn.XLOOKUP(C72, '[2]Punteggi GW'!$A:$A, '[2]Punteggi GW'!$C:$C, "N/D")=0, "", _xlfn.XLOOKUP(C72, '[2]Punteggi GW'!$A:$A, '[2]Punteggi GW'!$C:$C, "N/D"))</f>
        <v>🥲x1</v>
      </c>
      <c r="E72" s="30" cm="1">
        <f t="array" ref="E72">IFERROR(IF(VLOOKUP(C72,'[2]Punteggi GW'!A:B,2,FALSE)="S.V.",
IFERROR(INDEX(E$84:E$92,_xlfn.AGGREGATE(15,6,(ROW(A$84:A$92)-MIN(ROW(A$84:A$92))+1)/(FIND(A72,A$84:A$92)&gt;0),1)) &amp; " 🔄","S.V."),
VLOOKUP(C72,'[2]Punteggi GW'!A:B,2,FALSE)),"S.V.")</f>
        <v>0.4</v>
      </c>
    </row>
    <row r="73" spans="1:5" x14ac:dyDescent="0.25">
      <c r="A73" s="2" t="s">
        <v>53</v>
      </c>
      <c r="B73" t="str">
        <f>VLOOKUP(C73, [1]Tabelle1!A:B, 2, FALSE)</f>
        <v>    {"name": "Ranieri L.", "slug": "luca-ranieri", "role": "DF"},</v>
      </c>
      <c r="C73" t="s">
        <v>54</v>
      </c>
      <c r="D73" t="str">
        <f>IF(_xlfn.XLOOKUP(C73, '[2]Punteggi GW'!$A:$A, '[2]Punteggi GW'!$C:$C, "N/D")=0, "", _xlfn.XLOOKUP(C73, '[2]Punteggi GW'!$A:$A, '[2]Punteggi GW'!$C:$C, "N/D"))</f>
        <v/>
      </c>
      <c r="E73" s="31" cm="1">
        <f t="array" ref="E73">IFERROR(IF(VLOOKUP(C73,'[2]Punteggi GW'!A:B,2,FALSE)="S.V.",
IFERROR(INDEX(E$84:E$92,_xlfn.AGGREGATE(15,6,(ROW(A$84:A$92)-MIN(ROW(A$84:A$92))+1)/(FIND(A73,A$84:A$92)&gt;0),1)) &amp; " 🔄","S.V."),
VLOOKUP(C73,'[2]Punteggi GW'!A:B,2,FALSE)),"S.V.")</f>
        <v>3.7</v>
      </c>
    </row>
    <row r="74" spans="1:5" x14ac:dyDescent="0.25">
      <c r="A74" s="1" t="s">
        <v>55</v>
      </c>
      <c r="B74" t="str">
        <f>VLOOKUP(C74, [1]Tabelle1!A:B, 2, FALSE)</f>
        <v>    {"name": "Pavard", "slug": "benjamin-pavard", "role": "DF"},</v>
      </c>
      <c r="C74" t="s">
        <v>56</v>
      </c>
      <c r="D74" t="str">
        <f>IF(_xlfn.XLOOKUP(C74, '[2]Punteggi GW'!$A:$A, '[2]Punteggi GW'!$C:$C, "N/D")=0, "", _xlfn.XLOOKUP(C74, '[2]Punteggi GW'!$A:$A, '[2]Punteggi GW'!$C:$C, "N/D"))</f>
        <v/>
      </c>
      <c r="E74" s="31" cm="1">
        <f t="array" ref="E74">IFERROR(IF(VLOOKUP(C74,'[2]Punteggi GW'!A:B,2,FALSE)="S.V.",
IFERROR(INDEX(E$84:E$92,_xlfn.AGGREGATE(15,6,(ROW(A$84:A$92)-MIN(ROW(A$84:A$92))+1)/(FIND(A74,A$84:A$92)&gt;0),1)) &amp; " 🔄","S.V."),
VLOOKUP(C74,'[2]Punteggi GW'!A:B,2,FALSE)),"S.V.")</f>
        <v>3.4</v>
      </c>
    </row>
    <row r="75" spans="1:5" x14ac:dyDescent="0.25">
      <c r="A75" s="1" t="s">
        <v>55</v>
      </c>
      <c r="B75" t="str">
        <f>VLOOKUP(C75, [1]Tabelle1!A:B, 2, FALSE)</f>
        <v>    {"name": "Baschirotto", "slug": "federico-baschirotto", "role": "DF"},</v>
      </c>
      <c r="C75" t="s">
        <v>57</v>
      </c>
      <c r="D75" t="str">
        <f>IF(_xlfn.XLOOKUP(C75, '[2]Punteggi GW'!$A:$A, '[2]Punteggi GW'!$C:$C, "N/D")=0, "", _xlfn.XLOOKUP(C75, '[2]Punteggi GW'!$A:$A, '[2]Punteggi GW'!$C:$C, "N/D"))</f>
        <v/>
      </c>
      <c r="E75" s="31" cm="1">
        <f t="array" ref="E75">IFERROR(IF(VLOOKUP(C75,'[2]Punteggi GW'!A:B,2,FALSE)="S.V.",
IFERROR(INDEX(E$84:E$92,_xlfn.AGGREGATE(15,6,(ROW(A$84:A$92)-MIN(ROW(A$84:A$92))+1)/(FIND(A75,A$84:A$92)&gt;0),1)) &amp; " 🔄","S.V."),
VLOOKUP(C75,'[2]Punteggi GW'!A:B,2,FALSE)),"S.V.")</f>
        <v>-0.6</v>
      </c>
    </row>
    <row r="76" spans="1:5" x14ac:dyDescent="0.25">
      <c r="A76" s="2" t="s">
        <v>11</v>
      </c>
      <c r="B76" t="str">
        <f>VLOOKUP(C76, [1]Tabelle1!A:B, 2, FALSE)</f>
        <v>    {"name": "Douglas Luiz", "slug": "douglas-luiz-soares-de-paulo", "role": "MF"},</v>
      </c>
      <c r="C76" t="s">
        <v>58</v>
      </c>
      <c r="D76" t="str">
        <f>IF(_xlfn.XLOOKUP(C76, '[2]Punteggi GW'!$A:$A, '[2]Punteggi GW'!$C:$C, "N/D")=0, "", _xlfn.XLOOKUP(C76, '[2]Punteggi GW'!$A:$A, '[2]Punteggi GW'!$C:$C, "N/D"))</f>
        <v/>
      </c>
      <c r="E76" s="31" t="str" cm="1">
        <f t="array" ref="E76">IFERROR(IF(VLOOKUP(C76,'[2]Punteggi GW'!A:B,2,FALSE)="S.V.",
IFERROR(INDEX(E$84:E$92,_xlfn.AGGREGATE(15,6,(ROW(A$84:A$92)-MIN(ROW(A$84:A$92))+1)/(FIND(A76,A$84:A$92)&gt;0),1)) &amp; " 🔄","S.V."),
VLOOKUP(C76,'[2]Punteggi GW'!A:B,2,FALSE)),"S.V.")</f>
        <v>8,3 🔄</v>
      </c>
    </row>
    <row r="77" spans="1:5" x14ac:dyDescent="0.25">
      <c r="A77" s="2" t="s">
        <v>4</v>
      </c>
      <c r="B77" t="str">
        <f>VLOOKUP(C77, [1]Tabelle1!A:B, 2, FALSE)</f>
        <v>    {"name": "Hernandez T.", "slug": "theo-bernard-francois-hernandez", "role": "DF"},</v>
      </c>
      <c r="C77" t="s">
        <v>59</v>
      </c>
      <c r="D77" t="str">
        <f>IF(_xlfn.XLOOKUP(C77, '[2]Punteggi GW'!$A:$A, '[2]Punteggi GW'!$C:$C, "N/D")=0, "", _xlfn.XLOOKUP(C77, '[2]Punteggi GW'!$A:$A, '[2]Punteggi GW'!$C:$C, "N/D"))</f>
        <v/>
      </c>
      <c r="E77" s="31" cm="1">
        <f t="array" ref="E77">IFERROR(IF(VLOOKUP(C77,'[2]Punteggi GW'!A:B,2,FALSE)="S.V.",
IFERROR(INDEX(E$84:E$92,_xlfn.AGGREGATE(15,6,(ROW(A$84:A$92)-MIN(ROW(A$84:A$92))+1)/(FIND(A77,A$84:A$92)&gt;0),1)) &amp; " 🔄","S.V."),
VLOOKUP(C77,'[2]Punteggi GW'!A:B,2,FALSE)),"S.V.")</f>
        <v>9.9</v>
      </c>
    </row>
    <row r="78" spans="1:5" x14ac:dyDescent="0.25">
      <c r="A78" s="2" t="s">
        <v>13</v>
      </c>
      <c r="B78" t="str">
        <f>VLOOKUP(C78, [1]Tabelle1!A:B, 2, FALSE)</f>
        <v>    {"name": "Freuler", "slug": "remo-freuler", "role": "MF"},</v>
      </c>
      <c r="C78" t="s">
        <v>60</v>
      </c>
      <c r="D78" t="str">
        <f>IF(_xlfn.XLOOKUP(C78, '[2]Punteggi GW'!$A:$A, '[2]Punteggi GW'!$C:$C, "N/D")=0, "", _xlfn.XLOOKUP(C78, '[2]Punteggi GW'!$A:$A, '[2]Punteggi GW'!$C:$C, "N/D"))</f>
        <v>🛡️ 🟨</v>
      </c>
      <c r="E78" s="31" cm="1">
        <f t="array" ref="E78">IFERROR(IF(VLOOKUP(C78,'[2]Punteggi GW'!A:B,2,FALSE)="S.V.",
IFERROR(INDEX(E$84:E$92,_xlfn.AGGREGATE(15,6,(ROW(A$84:A$92)-MIN(ROW(A$84:A$92))+1)/(FIND(A78,A$84:A$92)&gt;0),1)) &amp; " 🔄","S.V."),
VLOOKUP(C78,'[2]Punteggi GW'!A:B,2,FALSE)),"S.V.")</f>
        <v>33.4</v>
      </c>
    </row>
    <row r="79" spans="1:5" x14ac:dyDescent="0.25">
      <c r="A79" s="2" t="s">
        <v>13</v>
      </c>
      <c r="B79" t="str">
        <f>VLOOKUP(C79, [1]Tabelle1!A:B, 2, FALSE)</f>
        <v>    {"name": "Zambo Anguissa", "slug": "andre-frank-zambo-anguissa", "role": "MF"},</v>
      </c>
      <c r="C79" t="s">
        <v>61</v>
      </c>
      <c r="D79" t="str">
        <f>IF(_xlfn.XLOOKUP(C79, '[2]Punteggi GW'!$A:$A, '[2]Punteggi GW'!$C:$C, "N/D")=0, "", _xlfn.XLOOKUP(C79, '[2]Punteggi GW'!$A:$A, '[2]Punteggi GW'!$C:$C, "N/D"))</f>
        <v/>
      </c>
      <c r="E79" s="31" cm="1">
        <f t="array" ref="E79">IFERROR(IF(VLOOKUP(C79,'[2]Punteggi GW'!A:B,2,FALSE)="S.V.",
IFERROR(INDEX(E$84:E$92,_xlfn.AGGREGATE(15,6,(ROW(A$84:A$92)-MIN(ROW(A$84:A$92))+1)/(FIND(A79,A$84:A$92)&gt;0),1)) &amp; " 🔄","S.V."),
VLOOKUP(C79,'[2]Punteggi GW'!A:B,2,FALSE)),"S.V.")</f>
        <v>6.5</v>
      </c>
    </row>
    <row r="80" spans="1:5" x14ac:dyDescent="0.25">
      <c r="A80" s="2" t="s">
        <v>30</v>
      </c>
      <c r="B80" t="str">
        <f>VLOOKUP(C80, [1]Tabelle1!A:B, 2, FALSE)</f>
        <v>    {"name": "Weah", "slug": "timothy-weah", "role": "FW"},</v>
      </c>
      <c r="C80" t="s">
        <v>62</v>
      </c>
      <c r="D80" t="str">
        <f>IF(_xlfn.XLOOKUP(C80, '[2]Punteggi GW'!$A:$A, '[2]Punteggi GW'!$C:$C, "N/D")=0, "", _xlfn.XLOOKUP(C80, '[2]Punteggi GW'!$A:$A, '[2]Punteggi GW'!$C:$C, "N/D"))</f>
        <v>👟</v>
      </c>
      <c r="E80" s="31" cm="1">
        <f t="array" ref="E80">IFERROR(IF(VLOOKUP(C80,'[2]Punteggi GW'!A:B,2,FALSE)="S.V.",
IFERROR(INDEX(E$84:E$92,_xlfn.AGGREGATE(15,6,(ROW(A$84:A$92)-MIN(ROW(A$84:A$92))+1)/(FIND(A80,A$84:A$92)&gt;0),1)) &amp; " 🔄","S.V."),
VLOOKUP(C80,'[2]Punteggi GW'!A:B,2,FALSE)),"S.V.")</f>
        <v>19.7</v>
      </c>
    </row>
    <row r="81" spans="1:5" x14ac:dyDescent="0.25">
      <c r="A81" s="1" t="s">
        <v>17</v>
      </c>
      <c r="B81" t="str">
        <f>VLOOKUP(C81, [1]Tabelle1!A:B, 2, FALSE)</f>
        <v>    {"name": "Martinez L.", "slug": "lautaro-javier-martinez", "role": "FW"},</v>
      </c>
      <c r="C81" t="s">
        <v>63</v>
      </c>
      <c r="D81" t="str">
        <f>IF(_xlfn.XLOOKUP(C81, '[2]Punteggi GW'!$A:$A, '[2]Punteggi GW'!$C:$C, "N/D")=0, "", _xlfn.XLOOKUP(C81, '[2]Punteggi GW'!$A:$A, '[2]Punteggi GW'!$C:$C, "N/D"))</f>
        <v/>
      </c>
      <c r="E81" s="31" cm="1">
        <f t="array" ref="E81">IFERROR(IF(VLOOKUP(C81,'[2]Punteggi GW'!A:B,2,FALSE)="S.V.",
IFERROR(INDEX(E$84:E$92,_xlfn.AGGREGATE(15,6,(ROW(A$84:A$92)-MIN(ROW(A$84:A$92))+1)/(FIND(A81,A$84:A$92)&gt;0),1)) &amp; " 🔄","S.V."),
VLOOKUP(C81,'[2]Punteggi GW'!A:B,2,FALSE)),"S.V.")</f>
        <v>14.3</v>
      </c>
    </row>
    <row r="82" spans="1:5" x14ac:dyDescent="0.25">
      <c r="A82" s="3" t="s">
        <v>17</v>
      </c>
      <c r="B82" s="4" t="str">
        <f>VLOOKUP(C82, [1]Tabelle1!A:B, 2, FALSE)</f>
        <v>    {"name": "Lukaku", "slug": "romelu-lukaku-menama", "role": "FW"},</v>
      </c>
      <c r="C82" s="4" t="s">
        <v>64</v>
      </c>
      <c r="D82" s="4" t="str">
        <f>IF(_xlfn.XLOOKUP(C82, '[2]Punteggi GW'!$A:$A, '[2]Punteggi GW'!$C:$C, "N/D")=0, "", _xlfn.XLOOKUP(C82, '[2]Punteggi GW'!$A:$A, '[2]Punteggi GW'!$C:$C, "N/D"))</f>
        <v/>
      </c>
      <c r="E82" s="32" cm="1">
        <f t="array" ref="E82">IFERROR(IF(VLOOKUP(C82,'[2]Punteggi GW'!A:B,2,FALSE)="S.V.",
IFERROR(INDEX(E$84:E$92,_xlfn.AGGREGATE(15,6,(ROW(A$84:A$92)-MIN(ROW(A$84:A$92))+1)/(FIND(A82,A$84:A$92)&gt;0),1)) &amp; " 🔄","S.V."),
VLOOKUP(C82,'[2]Punteggi GW'!A:B,2,FALSE)),"S.V.")</f>
        <v>-2.8</v>
      </c>
    </row>
    <row r="83" spans="1:5" x14ac:dyDescent="0.25">
      <c r="A83" s="8" t="s">
        <v>90</v>
      </c>
      <c r="B83" s="7"/>
      <c r="C83" s="10"/>
      <c r="D83" s="7"/>
      <c r="E83" s="29"/>
    </row>
    <row r="84" spans="1:5" x14ac:dyDescent="0.25">
      <c r="A84" s="5" t="s">
        <v>17</v>
      </c>
      <c r="B84" s="6" t="str">
        <f>VLOOKUP(C84, [1]Tabelle1!A:B, 2, FALSE)</f>
        <v>    {"name": "Lucca", "slug": "lorenzo-lucca", "role": "FW"},</v>
      </c>
      <c r="C84" s="6" t="s">
        <v>99</v>
      </c>
      <c r="D84" s="6" t="str">
        <f>IFERROR(IF(VLOOKUP(C84,'[2]Punteggi GW'!A:C,3,FALSE)=0,"",
VLOOKUP(C84,'[2]Punteggi GW'!A:C,3,FALSE)),"")</f>
        <v>⚽ 🟨</v>
      </c>
      <c r="E84" s="30">
        <f>IFERROR(VLOOKUP(C84,'[2]Punteggi GW'!A:B,2,FALSE),"S.V.")</f>
        <v>6.9</v>
      </c>
    </row>
    <row r="85" spans="1:5" x14ac:dyDescent="0.25">
      <c r="A85" s="1" t="s">
        <v>102</v>
      </c>
      <c r="B85" t="str">
        <f>VLOOKUP(C85, [1]Tabelle1!A:B, 2, FALSE)</f>
        <v>    {"name": "Conceicao", "slug": "francisco-fernandes-conceicao", "role": "FW"},</v>
      </c>
      <c r="C85" t="s">
        <v>121</v>
      </c>
      <c r="D85" t="str">
        <f>IFERROR(IF(VLOOKUP(C85,'[2]Punteggi GW'!A:C,3,FALSE)=0,"",
VLOOKUP(C85,'[2]Punteggi GW'!A:C,3,FALSE)),"")</f>
        <v>⚽</v>
      </c>
      <c r="E85" s="31">
        <f>IFERROR(VLOOKUP(C85,'[2]Punteggi GW'!A:B,2,FALSE),"S.V.")</f>
        <v>5</v>
      </c>
    </row>
    <row r="86" spans="1:5" x14ac:dyDescent="0.25">
      <c r="A86" s="1" t="s">
        <v>86</v>
      </c>
      <c r="B86" t="str">
        <f>VLOOKUP(C86, [1]Tabelle1!A:B, 2, FALSE)</f>
        <v>    {"name": "Samardzic", "slug": "lazar-samardzic", "role": "MF"},</v>
      </c>
      <c r="C86" t="s">
        <v>101</v>
      </c>
      <c r="D86" t="str">
        <f>IFERROR(IF(VLOOKUP(C86,'[2]Punteggi GW'!A:C,3,FALSE)=0,"",
VLOOKUP(C86,'[2]Punteggi GW'!A:C,3,FALSE)),"")</f>
        <v/>
      </c>
      <c r="E86" s="31">
        <f>IFERROR(VLOOKUP(C86,'[2]Punteggi GW'!A:B,2,FALSE),"S.V.")</f>
        <v>12.8</v>
      </c>
    </row>
    <row r="87" spans="1:5" x14ac:dyDescent="0.25">
      <c r="A87" s="1" t="s">
        <v>17</v>
      </c>
      <c r="B87" t="str">
        <f>VLOOKUP(C87, [1]Tabelle1!A:B, 2, FALSE)</f>
        <v>    {"name": "Pinamonti", "slug": "andrea-pinamonti", "role": "FW"},</v>
      </c>
      <c r="C87" t="s">
        <v>122</v>
      </c>
      <c r="D87" t="str">
        <f>IFERROR(IF(VLOOKUP(C87,'[2]Punteggi GW'!A:C,3,FALSE)=0,"",
VLOOKUP(C87,'[2]Punteggi GW'!A:C,3,FALSE)),"")</f>
        <v/>
      </c>
      <c r="E87" s="31">
        <f>IFERROR(VLOOKUP(C87,'[2]Punteggi GW'!A:B,2,FALSE),"S.V.")</f>
        <v>4.5</v>
      </c>
    </row>
    <row r="88" spans="1:5" x14ac:dyDescent="0.25">
      <c r="A88" s="1" t="s">
        <v>123</v>
      </c>
      <c r="B88" t="str">
        <f>VLOOKUP(C88, [1]Tabelle1!A:B, 2, FALSE)</f>
        <v>    {"name": "Frendrup", "slug": "morten-frendrup", "role": "MF"},</v>
      </c>
      <c r="C88" t="s">
        <v>100</v>
      </c>
      <c r="D88" t="str">
        <f>IFERROR(IF(VLOOKUP(C88,'[2]Punteggi GW'!A:C,3,FALSE)=0,"",
VLOOKUP(C88,'[2]Punteggi GW'!A:C,3,FALSE)),"")</f>
        <v/>
      </c>
      <c r="E88" s="31">
        <f>IFERROR(VLOOKUP(C88,'[2]Punteggi GW'!A:B,2,FALSE),"S.V.")</f>
        <v>8.3000000000000007</v>
      </c>
    </row>
    <row r="89" spans="1:5" x14ac:dyDescent="0.25">
      <c r="A89" s="1" t="s">
        <v>125</v>
      </c>
      <c r="B89" t="str">
        <f>VLOOKUP(C89, [1]Tabelle1!A:B, 2, FALSE)</f>
        <v>    {"name": "De Sciglio", "slug": "mattia-de-sciglio", "role": "DF"},</v>
      </c>
      <c r="C89" t="s">
        <v>124</v>
      </c>
      <c r="D89" t="str">
        <f>IFERROR(VLOOKUP(C89,'[2]Punteggi GW'!A:C,3,FALSE)," ")</f>
        <v>⚽</v>
      </c>
      <c r="E89" s="31">
        <f>IFERROR(VLOOKUP(C89,'[2]Punteggi GW'!A:B,2,FALSE),"S.V.")</f>
        <v>-5.0999999999999996</v>
      </c>
    </row>
    <row r="90" spans="1:5" x14ac:dyDescent="0.25">
      <c r="A90" s="1" t="s">
        <v>128</v>
      </c>
      <c r="B90" t="str">
        <f>VLOOKUP(C90, [1]Tabelle1!A:B, 2, FALSE)</f>
        <v>    {"name": "Fagioli", "slug": "nicolo-fagioli", "role": "MF"},</v>
      </c>
      <c r="C90" t="s">
        <v>126</v>
      </c>
      <c r="D90">
        <f>IFERROR(VLOOKUP(C90,'[2]Punteggi GW'!A:C,3,FALSE)," ")</f>
        <v>0</v>
      </c>
      <c r="E90" s="31" t="str">
        <f>IFERROR(VLOOKUP(C90,'[2]Punteggi GW'!A:B,2,FALSE),"S.V.")</f>
        <v>S.V.</v>
      </c>
    </row>
    <row r="91" spans="1:5" x14ac:dyDescent="0.25">
      <c r="A91" s="1" t="s">
        <v>128</v>
      </c>
      <c r="B91" t="e">
        <f>VLOOKUP(C91, [1]Tabelle1!A:B, 2, FALSE)</f>
        <v>#N/A</v>
      </c>
      <c r="C91" t="s">
        <v>127</v>
      </c>
      <c r="D91" t="str">
        <f>IFERROR(VLOOKUP(C91,'[2]Punteggi GW'!A:C,3,FALSE)," ")</f>
        <v xml:space="preserve"> </v>
      </c>
      <c r="E91" s="31" t="str">
        <f>IFERROR(VLOOKUP(C91,'[2]Punteggi GW'!A:B,2,FALSE),"S.V.")</f>
        <v>S.V.</v>
      </c>
    </row>
    <row r="92" spans="1:5" x14ac:dyDescent="0.25">
      <c r="A92" s="3" t="s">
        <v>2</v>
      </c>
      <c r="B92" s="4" t="str">
        <f>VLOOKUP(C92, [1]Tabelle1!A:B, 2, FALSE)</f>
        <v>    {"name": "Maignan", "slug": "mike-maignan", "role": "GK"},</v>
      </c>
      <c r="C92" s="4" t="s">
        <v>120</v>
      </c>
      <c r="D92" s="4" t="str">
        <f>IFERROR(VLOOKUP(C92,'[2]Punteggi GW'!A:C,3,FALSE)," ")</f>
        <v>🥲x1</v>
      </c>
      <c r="E92" s="32">
        <f>IFERROR(VLOOKUP(C92,'[2]Punteggi GW'!A:B,2,FALSE),"S.V.")</f>
        <v>9.3000000000000007</v>
      </c>
    </row>
    <row r="93" spans="1:5" x14ac:dyDescent="0.25">
      <c r="A93" s="4" t="s">
        <v>20</v>
      </c>
      <c r="B93" s="4"/>
      <c r="C93" s="4"/>
      <c r="D93" s="4"/>
      <c r="E93" s="34">
        <f>SUM(E72:E82)</f>
        <v>87.9</v>
      </c>
    </row>
    <row r="94" spans="1:5" x14ac:dyDescent="0.25">
      <c r="A94" s="7" t="s">
        <v>65</v>
      </c>
      <c r="B94" s="7"/>
      <c r="C94" s="7"/>
      <c r="D94" s="7"/>
      <c r="E94" s="29"/>
    </row>
    <row r="95" spans="1:5" x14ac:dyDescent="0.25">
      <c r="A95" s="5" t="s">
        <v>2</v>
      </c>
      <c r="B95" s="6" t="str">
        <f>VLOOKUP(C95, [1]Tabelle1!A:B, 2, FALSE)</f>
        <v>    {"name": "De Gea", "slug": "david-de-gea-quintana", "role": "GK"},</v>
      </c>
      <c r="C95" s="6" t="s">
        <v>66</v>
      </c>
      <c r="D95" s="6" t="str">
        <f>IF(_xlfn.XLOOKUP(C95, '[2]Punteggi GW'!$A:$A, '[2]Punteggi GW'!$C:$C, "N/D")=0, "", _xlfn.XLOOKUP(C95, '[2]Punteggi GW'!$A:$A, '[2]Punteggi GW'!$C:$C, "N/D"))</f>
        <v>🥲x1</v>
      </c>
      <c r="E95" s="30" cm="1">
        <f t="array" ref="E95">IFERROR(IF(VLOOKUP(C95,'[2]Punteggi GW'!A:B,2,FALSE)="S.V.",
IFERROR(INDEX(E$107:E$115,_xlfn.AGGREGATE(15,6,(ROW(A$107:A$115)-MIN(ROW(A$107:A$115))+1)/(FIND(A95,A$107:A$115)&gt;0),1)) &amp; " 🔄","S.V."),
VLOOKUP(C95,'[2]Punteggi GW'!A:B,2,FALSE)),"S.V.")</f>
        <v>3.5</v>
      </c>
    </row>
    <row r="96" spans="1:5" x14ac:dyDescent="0.25">
      <c r="A96" s="2" t="s">
        <v>53</v>
      </c>
      <c r="B96" t="str">
        <f>VLOOKUP(C96, [1]Tabelle1!A:B, 2, FALSE)</f>
        <v>    {"name": "Vasquez", "slug": "johan-felipe-vasquez-ibarra", "role": "DF"},</v>
      </c>
      <c r="C96" t="s">
        <v>67</v>
      </c>
      <c r="D96" t="str">
        <f>IF(_xlfn.XLOOKUP(C96, '[2]Punteggi GW'!$A:$A, '[2]Punteggi GW'!$C:$C, "N/D")=0, "", _xlfn.XLOOKUP(C96, '[2]Punteggi GW'!$A:$A, '[2]Punteggi GW'!$C:$C, "N/D"))</f>
        <v/>
      </c>
      <c r="E96" s="31" cm="1">
        <f t="array" ref="E96">IFERROR(IF(VLOOKUP(C96,'[2]Punteggi GW'!A:B,2,FALSE)="S.V.",
IFERROR(INDEX(E$107:E$115,_xlfn.AGGREGATE(15,6,(ROW(A$107:A$115)-MIN(ROW(A$107:A$115))+1)/(FIND(A96,A$107:A$115)&gt;0),1)) &amp; " 🔄","S.V."),
VLOOKUP(C96,'[2]Punteggi GW'!A:B,2,FALSE)),"S.V.")</f>
        <v>-0.1</v>
      </c>
    </row>
    <row r="97" spans="1:5" x14ac:dyDescent="0.25">
      <c r="A97" s="1" t="s">
        <v>6</v>
      </c>
      <c r="B97" t="str">
        <f>VLOOKUP(C97, [1]Tabelle1!A:B, 2, FALSE)</f>
        <v>    {"name": "Romagnoli", "slug": "alessio-romagnoli", "role": "DF"},</v>
      </c>
      <c r="C97" t="s">
        <v>68</v>
      </c>
      <c r="D97" t="str">
        <f>IF(_xlfn.XLOOKUP(C97, '[2]Punteggi GW'!$A:$A, '[2]Punteggi GW'!$C:$C, "N/D")=0, "", _xlfn.XLOOKUP(C97, '[2]Punteggi GW'!$A:$A, '[2]Punteggi GW'!$C:$C, "N/D"))</f>
        <v/>
      </c>
      <c r="E97" s="31" cm="1">
        <f t="array" ref="E97">IFERROR(IF(VLOOKUP(C97,'[2]Punteggi GW'!A:B,2,FALSE)="S.V.",
IFERROR(INDEX(E$107:E$115,_xlfn.AGGREGATE(15,6,(ROW(A$107:A$115)-MIN(ROW(A$107:A$115))+1)/(FIND(A97,A$107:A$115)&gt;0),1)) &amp; " 🔄","S.V."),
VLOOKUP(C97,'[2]Punteggi GW'!A:B,2,FALSE)),"S.V.")</f>
        <v>10.8</v>
      </c>
    </row>
    <row r="98" spans="1:5" x14ac:dyDescent="0.25">
      <c r="A98" s="1" t="s">
        <v>6</v>
      </c>
      <c r="B98" t="str">
        <f>VLOOKUP(C98, [1]Tabelle1!A:B, 2, FALSE)</f>
        <v>    {"name": "Bastoni", "slug": "alessandro-bastoni", "role": "DF"},</v>
      </c>
      <c r="C98" t="s">
        <v>69</v>
      </c>
      <c r="D98" t="str">
        <f>IF(_xlfn.XLOOKUP(C98, '[2]Punteggi GW'!$A:$A, '[2]Punteggi GW'!$C:$C, "N/D")=0, "", _xlfn.XLOOKUP(C98, '[2]Punteggi GW'!$A:$A, '[2]Punteggi GW'!$C:$C, "N/D"))</f>
        <v>🟨</v>
      </c>
      <c r="E98" s="31" cm="1">
        <f t="array" ref="E98">IFERROR(IF(VLOOKUP(C98,'[2]Punteggi GW'!A:B,2,FALSE)="S.V.",
IFERROR(INDEX(E$107:E$115,_xlfn.AGGREGATE(15,6,(ROW(A$107:A$115)-MIN(ROW(A$107:A$115))+1)/(FIND(A98,A$107:A$115)&gt;0),1)) &amp; " 🔄","S.V."),
VLOOKUP(C98,'[2]Punteggi GW'!A:B,2,FALSE)),"S.V.")</f>
        <v>5.4</v>
      </c>
    </row>
    <row r="99" spans="1:5" x14ac:dyDescent="0.25">
      <c r="A99" s="2" t="s">
        <v>27</v>
      </c>
      <c r="B99" t="str">
        <f>VLOOKUP(C99, [1]Tabelle1!A:B, 2, FALSE)</f>
        <v>    {"name": "Ruggeri", "slug": "matteo-ruggeri", "role": "DF"},</v>
      </c>
      <c r="C99" t="s">
        <v>70</v>
      </c>
      <c r="D99" t="str">
        <f>IF(_xlfn.XLOOKUP(C99, '[2]Punteggi GW'!$A:$A, '[2]Punteggi GW'!$C:$C, "N/D")=0, "", _xlfn.XLOOKUP(C99, '[2]Punteggi GW'!$A:$A, '[2]Punteggi GW'!$C:$C, "N/D"))</f>
        <v/>
      </c>
      <c r="E99" s="31" cm="1">
        <f t="array" ref="E99">IFERROR(IF(VLOOKUP(C99,'[2]Punteggi GW'!A:B,2,FALSE)="S.V.",
IFERROR(INDEX(E$107:E$115,_xlfn.AGGREGATE(15,6,(ROW(A$107:A$115)-MIN(ROW(A$107:A$115))+1)/(FIND(A99,A$107:A$115)&gt;0),1)) &amp; " 🔄","S.V."),
VLOOKUP(C99,'[2]Punteggi GW'!A:B,2,FALSE)),"S.V.")</f>
        <v>7</v>
      </c>
    </row>
    <row r="100" spans="1:5" x14ac:dyDescent="0.25">
      <c r="A100" s="2" t="s">
        <v>27</v>
      </c>
      <c r="B100" t="str">
        <f>VLOOKUP(C100, [1]Tabelle1!A:B, 2, FALSE)</f>
        <v>    {"name": "Dimarco", "slug": "federico-dimarco", "role": "DF"},</v>
      </c>
      <c r="C100" t="s">
        <v>71</v>
      </c>
      <c r="D100" t="str">
        <f>IF(_xlfn.XLOOKUP(C100, '[2]Punteggi GW'!$A:$A, '[2]Punteggi GW'!$C:$C, "N/D")=0, "", _xlfn.XLOOKUP(C100, '[2]Punteggi GW'!$A:$A, '[2]Punteggi GW'!$C:$C, "N/D"))</f>
        <v/>
      </c>
      <c r="E100" s="31" cm="1">
        <f t="array" ref="E100">IFERROR(IF(VLOOKUP(C100,'[2]Punteggi GW'!A:B,2,FALSE)="S.V.",
IFERROR(INDEX(E$107:E$115,_xlfn.AGGREGATE(15,6,(ROW(A$107:A$115)-MIN(ROW(A$107:A$115))+1)/(FIND(A100,A$107:A$115)&gt;0),1)) &amp; " 🔄","S.V."),
VLOOKUP(C100,'[2]Punteggi GW'!A:B,2,FALSE)),"S.V.")</f>
        <v>3.4</v>
      </c>
    </row>
    <row r="101" spans="1:5" x14ac:dyDescent="0.25">
      <c r="A101" s="2" t="s">
        <v>11</v>
      </c>
      <c r="B101" t="str">
        <f>VLOOKUP(C101, [1]Tabelle1!A:B, 2, FALSE)</f>
        <v>    {"name": "Barella", "slug": "nicolo-barella", "role": "MF"},</v>
      </c>
      <c r="C101" t="s">
        <v>72</v>
      </c>
      <c r="D101" t="str">
        <f>IF(_xlfn.XLOOKUP(C101, '[2]Punteggi GW'!$A:$A, '[2]Punteggi GW'!$C:$C, "N/D")=0, "", _xlfn.XLOOKUP(C101, '[2]Punteggi GW'!$A:$A, '[2]Punteggi GW'!$C:$C, "N/D"))</f>
        <v/>
      </c>
      <c r="E101" s="31" cm="1">
        <f t="array" ref="E101">IFERROR(IF(VLOOKUP(C101,'[2]Punteggi GW'!A:B,2,FALSE)="S.V.",
IFERROR(INDEX(E$107:E$115,_xlfn.AGGREGATE(15,6,(ROW(A$107:A$115)-MIN(ROW(A$107:A$115))+1)/(FIND(A101,A$107:A$115)&gt;0),1)) &amp; " 🔄","S.V."),
VLOOKUP(C101,'[2]Punteggi GW'!A:B,2,FALSE)),"S.V.")</f>
        <v>14.8</v>
      </c>
    </row>
    <row r="102" spans="1:5" x14ac:dyDescent="0.25">
      <c r="A102" s="2" t="s">
        <v>13</v>
      </c>
      <c r="B102" t="str">
        <f>VLOOKUP(C102, [1]Tabelle1!A:B, 2, FALSE)</f>
        <v>    {"name": "Calhanoglu", "slug": "hakan-calhanoglu", "role": "MF"},</v>
      </c>
      <c r="C102" t="s">
        <v>73</v>
      </c>
      <c r="D102" t="str">
        <f>IF(_xlfn.XLOOKUP(C102, '[2]Punteggi GW'!$A:$A, '[2]Punteggi GW'!$C:$C, "N/D")=0, "", _xlfn.XLOOKUP(C102, '[2]Punteggi GW'!$A:$A, '[2]Punteggi GW'!$C:$C, "N/D"))</f>
        <v/>
      </c>
      <c r="E102" s="31" cm="1">
        <f t="array" ref="E102">IFERROR(IF(VLOOKUP(C102,'[2]Punteggi GW'!A:B,2,FALSE)="S.V.",
IFERROR(INDEX(E$107:E$115,_xlfn.AGGREGATE(15,6,(ROW(A$107:A$115)-MIN(ROW(A$107:A$115))+1)/(FIND(A102,A$107:A$115)&gt;0),1)) &amp; " 🔄","S.V."),
VLOOKUP(C102,'[2]Punteggi GW'!A:B,2,FALSE)),"S.V.")</f>
        <v>7.9</v>
      </c>
    </row>
    <row r="103" spans="1:5" x14ac:dyDescent="0.25">
      <c r="A103" s="2" t="s">
        <v>47</v>
      </c>
      <c r="B103" t="str">
        <f>VLOOKUP(C103, [1]Tabelle1!A:B, 2, FALSE)</f>
        <v>    {"name": "Zaccagni", "slug": "mattia-zaccagni", "role": "FW"},</v>
      </c>
      <c r="C103" t="s">
        <v>74</v>
      </c>
      <c r="D103" t="str">
        <f>IF(_xlfn.XLOOKUP(C103, '[2]Punteggi GW'!$A:$A, '[2]Punteggi GW'!$C:$C, "N/D")=0, "", _xlfn.XLOOKUP(C103, '[2]Punteggi GW'!$A:$A, '[2]Punteggi GW'!$C:$C, "N/D"))</f>
        <v>⚽ 👟</v>
      </c>
      <c r="E103" s="31" cm="1">
        <f t="array" ref="E103">IFERROR(IF(VLOOKUP(C103,'[2]Punteggi GW'!A:B,2,FALSE)="S.V.",
IFERROR(INDEX(E$107:E$115,_xlfn.AGGREGATE(15,6,(ROW(A$107:A$115)-MIN(ROW(A$107:A$115))+1)/(FIND(A103,A$107:A$115)&gt;0),1)) &amp; " 🔄","S.V."),
VLOOKUP(C103,'[2]Punteggi GW'!A:B,2,FALSE)),"S.V.")</f>
        <v>17.8</v>
      </c>
    </row>
    <row r="104" spans="1:5" x14ac:dyDescent="0.25">
      <c r="A104" s="1" t="s">
        <v>17</v>
      </c>
      <c r="B104" t="str">
        <f>VLOOKUP(C104, [1]Tabelle1!A:B, 2, FALSE)</f>
        <v>    {"name": "Dia", "slug": "boulaye-dia", "role": "FW"},</v>
      </c>
      <c r="C104" t="s">
        <v>75</v>
      </c>
      <c r="D104" t="str">
        <f>IF(_xlfn.XLOOKUP(C104, '[2]Punteggi GW'!$A:$A, '[2]Punteggi GW'!$C:$C, "N/D")=0, "", _xlfn.XLOOKUP(C104, '[2]Punteggi GW'!$A:$A, '[2]Punteggi GW'!$C:$C, "N/D"))</f>
        <v/>
      </c>
      <c r="E104" s="31" cm="1">
        <f t="array" ref="E104">IFERROR(IF(VLOOKUP(C104,'[2]Punteggi GW'!A:B,2,FALSE)="S.V.",
IFERROR(INDEX(E$107:E$115,_xlfn.AGGREGATE(15,6,(ROW(A$107:A$115)-MIN(ROW(A$107:A$115))+1)/(FIND(A104,A$107:A$115)&gt;0),1)) &amp; " 🔄","S.V."),
VLOOKUP(C104,'[2]Punteggi GW'!A:B,2,FALSE)),"S.V.")</f>
        <v>14</v>
      </c>
    </row>
    <row r="105" spans="1:5" x14ac:dyDescent="0.25">
      <c r="A105" s="3" t="s">
        <v>35</v>
      </c>
      <c r="B105" s="4" t="str">
        <f>VLOOKUP(C105, [1]Tabelle1!A:B, 2, FALSE)</f>
        <v>    {"name": "Leao", "slug": "rafael-alexandre-conceicao-leao", "role": "FW"},</v>
      </c>
      <c r="C105" s="4" t="s">
        <v>76</v>
      </c>
      <c r="D105" s="4" t="str">
        <f>IF(_xlfn.XLOOKUP(C105, '[2]Punteggi GW'!$A:$A, '[2]Punteggi GW'!$C:$C, "N/D")=0, "", _xlfn.XLOOKUP(C105, '[2]Punteggi GW'!$A:$A, '[2]Punteggi GW'!$C:$C, "N/D"))</f>
        <v/>
      </c>
      <c r="E105" s="32" cm="1">
        <f t="array" ref="E105">IFERROR(IF(VLOOKUP(C105,'[2]Punteggi GW'!A:B,2,FALSE)="S.V.",
IFERROR(INDEX(E$107:E$115,_xlfn.AGGREGATE(15,6,(ROW(A$107:A$115)-MIN(ROW(A$107:A$115))+1)/(FIND(A105,A$107:A$115)&gt;0),1)) &amp; " 🔄","S.V."),
VLOOKUP(C105,'[2]Punteggi GW'!A:B,2,FALSE)),"S.V.")</f>
        <v>4.0999999999999996</v>
      </c>
    </row>
    <row r="106" spans="1:5" x14ac:dyDescent="0.25">
      <c r="A106" s="8" t="s">
        <v>90</v>
      </c>
      <c r="B106" s="7"/>
      <c r="C106" s="7"/>
      <c r="D106" s="7"/>
      <c r="E106" s="29"/>
    </row>
    <row r="107" spans="1:5" x14ac:dyDescent="0.25">
      <c r="A107" s="5" t="s">
        <v>2</v>
      </c>
      <c r="B107" s="6" t="str">
        <f>VLOOKUP(C107, [1]Tabelle1!A:B, 2, FALSE)</f>
        <v>    {"name": "Milinkovic-Savic V.", "slug": "vanja-milinkovic-savic", "role": "GK"},</v>
      </c>
      <c r="C107" s="6" t="s">
        <v>147</v>
      </c>
      <c r="D107" s="6" t="str">
        <f>IFERROR(IF(VLOOKUP(C107,'[2]Punteggi GW'!A:C,3,FALSE)=0,"",
VLOOKUP(C107,'[2]Punteggi GW'!A:C,3,FALSE)),"")</f>
        <v>🧤 🥲x1 🟨</v>
      </c>
      <c r="E107" s="30">
        <f>IFERROR(VLOOKUP(C107,'[2]Punteggi GW'!A:B,2,FALSE),"S.V.")</f>
        <v>29.3</v>
      </c>
    </row>
    <row r="108" spans="1:5" x14ac:dyDescent="0.25">
      <c r="A108" s="1" t="s">
        <v>17</v>
      </c>
      <c r="B108" t="str">
        <f>VLOOKUP(C108, [1]Tabelle1!A:B, 2, FALSE)</f>
        <v>    {"name": "Castellanos", "slug": "valentin-mariano-jose-castellanos-gimenez", "role": "FW"},</v>
      </c>
      <c r="C108" t="s">
        <v>148</v>
      </c>
      <c r="D108" t="str">
        <f>IFERROR(IF(VLOOKUP(C108,'[2]Punteggi GW'!A:C,3,FALSE)=0,"",
VLOOKUP(C108,'[2]Punteggi GW'!A:C,3,FALSE)),"")</f>
        <v>⚽</v>
      </c>
      <c r="E108" s="31">
        <f>IFERROR(VLOOKUP(C108,'[2]Punteggi GW'!A:B,2,FALSE),"S.V.")</f>
        <v>20.3</v>
      </c>
    </row>
    <row r="109" spans="1:5" x14ac:dyDescent="0.25">
      <c r="A109" s="1" t="s">
        <v>17</v>
      </c>
      <c r="B109" t="str">
        <f>VLOOKUP(C109, [1]Tabelle1!A:B, 2, FALSE)</f>
        <v>    {"name": "Abraham", "slug": "kevin-oghenetega-tamaraebi-bakumo-abraham", "role": "FW"},</v>
      </c>
      <c r="C109" t="s">
        <v>149</v>
      </c>
      <c r="D109" t="str">
        <f>IFERROR(IF(VLOOKUP(C109,'[2]Punteggi GW'!A:C,3,FALSE)=0,"",
VLOOKUP(C109,'[2]Punteggi GW'!A:C,3,FALSE)),"")</f>
        <v/>
      </c>
      <c r="E109" s="31">
        <f>IFERROR(VLOOKUP(C109,'[2]Punteggi GW'!A:B,2,FALSE),"S.V.")</f>
        <v>1</v>
      </c>
    </row>
    <row r="110" spans="1:5" x14ac:dyDescent="0.25">
      <c r="A110" t="s">
        <v>102</v>
      </c>
      <c r="B110" t="str">
        <f>VLOOKUP(C110, [1]Tabelle1!A:B, 2, FALSE)</f>
        <v>    {"name": "Isaksen", "slug": "gustav-tang-isaksen", "role": "FW"},</v>
      </c>
      <c r="C110" t="s">
        <v>103</v>
      </c>
      <c r="D110" t="str">
        <f>IFERROR(IF(VLOOKUP(C110,'[2]Punteggi GW'!A:C,3,FALSE)=0,"",
VLOOKUP(C110,'[2]Punteggi GW'!A:C,3,FALSE)),"")</f>
        <v/>
      </c>
      <c r="E110" s="31">
        <f>IFERROR(VLOOKUP(C110,'[2]Punteggi GW'!A:B,2,FALSE),"S.V.")</f>
        <v>8.9</v>
      </c>
    </row>
    <row r="111" spans="1:5" x14ac:dyDescent="0.25">
      <c r="A111" t="s">
        <v>104</v>
      </c>
      <c r="B111" t="str">
        <f>VLOOKUP(C111, [1]Tabelle1!A:B, 2, FALSE)</f>
        <v>    {"name": "Dele-Bashiru", "slug": "fisayo-dele-bashiru", "role": "MF"},</v>
      </c>
      <c r="C111" t="s">
        <v>105</v>
      </c>
      <c r="D111" t="str">
        <f>IFERROR(IF(VLOOKUP(C111,'[2]Punteggi GW'!A:C,3,FALSE)=0,"",
VLOOKUP(C111,'[2]Punteggi GW'!A:C,3,FALSE)),"")</f>
        <v/>
      </c>
      <c r="E111" s="31">
        <f>IFERROR(VLOOKUP(C111,'[2]Punteggi GW'!A:B,2,FALSE),"S.V.")</f>
        <v>1.3</v>
      </c>
    </row>
    <row r="112" spans="1:5" x14ac:dyDescent="0.25">
      <c r="A112" t="s">
        <v>151</v>
      </c>
      <c r="B112" t="str">
        <f>VLOOKUP(C112, [1]Tabelle1!A:B, 2, FALSE)</f>
        <v>    {"name": "Guilbert", "slug": "frederic-guilbert", "role": "DF"},</v>
      </c>
      <c r="C112" t="s">
        <v>150</v>
      </c>
      <c r="D112" t="str">
        <f>IFERROR(IF(VLOOKUP(C112,'[2]Punteggi GW'!A:C,3,FALSE)=0,"",
VLOOKUP(C112,'[2]Punteggi GW'!A:C,3,FALSE)),"")</f>
        <v/>
      </c>
      <c r="E112" s="31">
        <f>IFERROR(VLOOKUP(C112,'[2]Punteggi GW'!A:B,2,FALSE),"S.V.")</f>
        <v>7.8</v>
      </c>
    </row>
    <row r="113" spans="1:5" x14ac:dyDescent="0.25">
      <c r="A113" t="s">
        <v>6</v>
      </c>
      <c r="B113" t="str">
        <f>VLOOKUP(C113, [1]Tabelle1!A:B, 2, FALSE)</f>
        <v>    {"name": "Coco", "slug": "saul-basilio-coco-bassey-oubina", "role": "DF"},</v>
      </c>
      <c r="C113" t="s">
        <v>152</v>
      </c>
      <c r="D113" t="str">
        <f>IFERROR(VLOOKUP(C113,'[2]Punteggi GW'!A:C,3,FALSE)," ")</f>
        <v>🟨</v>
      </c>
      <c r="E113" s="31">
        <f>IFERROR(VLOOKUP(C113,'[2]Punteggi GW'!A:B,2,FALSE),"S.V.")</f>
        <v>-4.3</v>
      </c>
    </row>
    <row r="114" spans="1:5" x14ac:dyDescent="0.25">
      <c r="A114" s="1"/>
      <c r="B114" t="e">
        <f>VLOOKUP(C114, [1]Tabelle1!A:B, 2, FALSE)</f>
        <v>#N/A</v>
      </c>
      <c r="D114" t="str">
        <f>IFERROR(VLOOKUP(C114,'[2]Punteggi GW'!A:C,3,FALSE)," ")</f>
        <v xml:space="preserve"> </v>
      </c>
      <c r="E114" s="31"/>
    </row>
    <row r="115" spans="1:5" x14ac:dyDescent="0.25">
      <c r="A115" s="3"/>
      <c r="B115" s="4" t="e">
        <f>VLOOKUP(C115, [1]Tabelle1!A:B, 2, FALSE)</f>
        <v>#N/A</v>
      </c>
      <c r="C115" s="4"/>
      <c r="D115" s="4" t="str">
        <f>IFERROR(VLOOKUP(C115,'[2]Punteggi GW'!A:C,3,FALSE)," ")</f>
        <v xml:space="preserve"> </v>
      </c>
      <c r="E115" s="32"/>
    </row>
    <row r="116" spans="1:5" x14ac:dyDescent="0.25">
      <c r="A116" s="4" t="s">
        <v>20</v>
      </c>
      <c r="B116" s="4"/>
      <c r="C116" s="4"/>
      <c r="D116" s="4"/>
      <c r="E116" s="34">
        <f>SUM(E95:E105)</f>
        <v>88.6</v>
      </c>
    </row>
    <row r="117" spans="1:5" x14ac:dyDescent="0.25">
      <c r="A117" s="7" t="s">
        <v>77</v>
      </c>
      <c r="B117" s="7"/>
      <c r="C117" s="7"/>
      <c r="D117" s="7"/>
      <c r="E117" s="29"/>
    </row>
    <row r="118" spans="1:5" x14ac:dyDescent="0.25">
      <c r="A118" s="5" t="s">
        <v>2</v>
      </c>
      <c r="B118" s="6" t="str">
        <f>VLOOKUP(C118, [1]Tabelle1!A:B, 2, FALSE)</f>
        <v>    {"name": "Falcone", "slug": "wladimiro-falcone", "role": "GK"},</v>
      </c>
      <c r="C118" s="6" t="s">
        <v>78</v>
      </c>
      <c r="D118" s="6" t="str">
        <f>IF(_xlfn.XLOOKUP(C118, '[2]Punteggi GW'!$A:$A, '[2]Punteggi GW'!$C:$C, "N/D")=0, "", _xlfn.XLOOKUP(C118, '[2]Punteggi GW'!$A:$A, '[2]Punteggi GW'!$C:$C, "N/D"))</f>
        <v>🧤 🥲x1</v>
      </c>
      <c r="E118" s="30" cm="1">
        <f t="array" ref="E118">IFERROR(IF(VLOOKUP(C118,'[2]Punteggi GW'!A:B,2,FALSE)="S.V.",
IFERROR(INDEX(E$130:E$138,_xlfn.AGGREGATE(15,6,(ROW(A$130:A$138)-MIN(ROW(A$130:A$138))+1)/(FIND(A118,A$130:A$138)&gt;0),1)) &amp; " 🔄","S.V."),
VLOOKUP(C118,'[2]Punteggi GW'!A:B,2,FALSE)),"S.V.")</f>
        <v>21.4</v>
      </c>
    </row>
    <row r="119" spans="1:5" x14ac:dyDescent="0.25">
      <c r="A119" s="2" t="s">
        <v>6</v>
      </c>
      <c r="B119" t="str">
        <f>VLOOKUP(C119, [1]Tabelle1!A:B, 2, FALSE)</f>
        <v>    {"name": "Gatti", "slug": "federico-gatti", "role": "DF"},</v>
      </c>
      <c r="C119" t="s">
        <v>79</v>
      </c>
      <c r="D119" t="str">
        <f>IF(_xlfn.XLOOKUP(C119, '[2]Punteggi GW'!$A:$A, '[2]Punteggi GW'!$C:$C, "N/D")=0, "", _xlfn.XLOOKUP(C119, '[2]Punteggi GW'!$A:$A, '[2]Punteggi GW'!$C:$C, "N/D"))</f>
        <v>🛡️</v>
      </c>
      <c r="E119" s="31" cm="1">
        <f t="array" ref="E119">IFERROR(IF(VLOOKUP(C119,'[2]Punteggi GW'!A:B,2,FALSE)="S.V.",
IFERROR(INDEX(E$130:E$138,_xlfn.AGGREGATE(15,6,(ROW(A$130:A$138)-MIN(ROW(A$130:A$138))+1)/(FIND(A119,A$130:A$138)&gt;0),1)) &amp; " 🔄","S.V."),
VLOOKUP(C119,'[2]Punteggi GW'!A:B,2,FALSE)),"S.V.")</f>
        <v>19.899999999999999</v>
      </c>
    </row>
    <row r="120" spans="1:5" x14ac:dyDescent="0.25">
      <c r="A120" s="1" t="s">
        <v>6</v>
      </c>
      <c r="B120" t="str">
        <f>VLOOKUP(C120, [1]Tabelle1!A:B, 2, FALSE)</f>
        <v>    {"name": "Hien", "slug": "isak-hien", "role": "DF"},</v>
      </c>
      <c r="C120" t="s">
        <v>80</v>
      </c>
      <c r="D120" t="str">
        <f>IF(_xlfn.XLOOKUP(C120, '[2]Punteggi GW'!$A:$A, '[2]Punteggi GW'!$C:$C, "N/D")=0, "", _xlfn.XLOOKUP(C120, '[2]Punteggi GW'!$A:$A, '[2]Punteggi GW'!$C:$C, "N/D"))</f>
        <v/>
      </c>
      <c r="E120" s="31" cm="1">
        <f t="array" ref="E120">IFERROR(IF(VLOOKUP(C120,'[2]Punteggi GW'!A:B,2,FALSE)="S.V.",
IFERROR(INDEX(E$130:E$138,_xlfn.AGGREGATE(15,6,(ROW(A$130:A$138)-MIN(ROW(A$130:A$138))+1)/(FIND(A120,A$130:A$138)&gt;0),1)) &amp; " 🔄","S.V."),
VLOOKUP(C120,'[2]Punteggi GW'!A:B,2,FALSE)),"S.V.")</f>
        <v>14.8</v>
      </c>
    </row>
    <row r="121" spans="1:5" x14ac:dyDescent="0.25">
      <c r="A121" s="1" t="s">
        <v>6</v>
      </c>
      <c r="B121" t="str">
        <f>VLOOKUP(C121, [1]Tabelle1!A:B, 2, FALSE)</f>
        <v>    {"name": "Beukema", "slug": "sam-beukema", "role": "DF"},</v>
      </c>
      <c r="C121" t="s">
        <v>81</v>
      </c>
      <c r="D121" t="str">
        <f>IF(_xlfn.XLOOKUP(C121, '[2]Punteggi GW'!$A:$A, '[2]Punteggi GW'!$C:$C, "N/D")=0, "", _xlfn.XLOOKUP(C121, '[2]Punteggi GW'!$A:$A, '[2]Punteggi GW'!$C:$C, "N/D"))</f>
        <v>🧱</v>
      </c>
      <c r="E121" s="31" cm="1">
        <f t="array" ref="E121">IFERROR(IF(VLOOKUP(C121,'[2]Punteggi GW'!A:B,2,FALSE)="S.V.",
IFERROR(INDEX(E$130:E$138,_xlfn.AGGREGATE(15,6,(ROW(A$130:A$138)-MIN(ROW(A$130:A$138))+1)/(FIND(A121,A$130:A$138)&gt;0),1)) &amp; " 🔄","S.V."),
VLOOKUP(C121,'[2]Punteggi GW'!A:B,2,FALSE)),"S.V.")</f>
        <v>9.6</v>
      </c>
    </row>
    <row r="122" spans="1:5" x14ac:dyDescent="0.25">
      <c r="A122" s="2" t="s">
        <v>4</v>
      </c>
      <c r="B122" t="str">
        <f>VLOOKUP(C122, [1]Tabelle1!A:B, 2, FALSE)</f>
        <v>    {"name": "Miranda", "slug": "juan-miranda-gonzalez", "role": "DF"},</v>
      </c>
      <c r="C122" t="s">
        <v>82</v>
      </c>
      <c r="D122" t="str">
        <f>IF(_xlfn.XLOOKUP(C122, '[2]Punteggi GW'!$A:$A, '[2]Punteggi GW'!$C:$C, "N/D")=0, "", _xlfn.XLOOKUP(C122, '[2]Punteggi GW'!$A:$A, '[2]Punteggi GW'!$C:$C, "N/D"))</f>
        <v>👟</v>
      </c>
      <c r="E122" s="31" cm="1">
        <f t="array" ref="E122">IFERROR(IF(VLOOKUP(C122,'[2]Punteggi GW'!A:B,2,FALSE)="S.V.",
IFERROR(INDEX(E$130:E$138,_xlfn.AGGREGATE(15,6,(ROW(A$130:A$138)-MIN(ROW(A$130:A$138))+1)/(FIND(A122,A$130:A$138)&gt;0),1)) &amp; " 🔄","S.V."),
VLOOKUP(C122,'[2]Punteggi GW'!A:B,2,FALSE)),"S.V.")</f>
        <v>15.8</v>
      </c>
    </row>
    <row r="123" spans="1:5" x14ac:dyDescent="0.25">
      <c r="A123" s="2" t="s">
        <v>32</v>
      </c>
      <c r="B123" t="str">
        <f>VLOOKUP(C123, [1]Tabelle1!A:B, 2, FALSE)</f>
        <v>    {"name": "Pasalic", "slug": "mario-pasalic", "role": "MF"},</v>
      </c>
      <c r="C123" t="s">
        <v>83</v>
      </c>
      <c r="D123" t="str">
        <f>IF(_xlfn.XLOOKUP(C123, '[2]Punteggi GW'!$A:$A, '[2]Punteggi GW'!$C:$C, "N/D")=0, "", _xlfn.XLOOKUP(C123, '[2]Punteggi GW'!$A:$A, '[2]Punteggi GW'!$C:$C, "N/D"))</f>
        <v/>
      </c>
      <c r="E123" s="31" cm="1">
        <f t="array" ref="E123">IFERROR(IF(VLOOKUP(C123,'[2]Punteggi GW'!A:B,2,FALSE)="S.V.",
IFERROR(INDEX(E$130:E$138,_xlfn.AGGREGATE(15,6,(ROW(A$130:A$138)-MIN(ROW(A$130:A$138))+1)/(FIND(A123,A$130:A$138)&gt;0),1)) &amp; " 🔄","S.V."),
VLOOKUP(C123,'[2]Punteggi GW'!A:B,2,FALSE)),"S.V.")</f>
        <v>11.7</v>
      </c>
    </row>
    <row r="124" spans="1:5" x14ac:dyDescent="0.25">
      <c r="A124" s="2" t="s">
        <v>11</v>
      </c>
      <c r="B124" t="str">
        <f>VLOOKUP(C124, [1]Tabelle1!A:B, 2, FALSE)</f>
        <v>    {"name": "Mkhitaryan", "slug": "henrikh-mkhitaryan", "role": "MF"},</v>
      </c>
      <c r="C124" t="s">
        <v>84</v>
      </c>
      <c r="D124" t="str">
        <f>IF(_xlfn.XLOOKUP(C124, '[2]Punteggi GW'!$A:$A, '[2]Punteggi GW'!$C:$C, "N/D")=0, "", _xlfn.XLOOKUP(C124, '[2]Punteggi GW'!$A:$A, '[2]Punteggi GW'!$C:$C, "N/D"))</f>
        <v/>
      </c>
      <c r="E124" s="31" cm="1">
        <f t="array" ref="E124">IFERROR(IF(VLOOKUP(C124,'[2]Punteggi GW'!A:B,2,FALSE)="S.V.",
IFERROR(INDEX(E$130:E$138,_xlfn.AGGREGATE(15,6,(ROW(A$130:A$138)-MIN(ROW(A$130:A$138))+1)/(FIND(A124,A$130:A$138)&gt;0),1)) &amp; " 🔄","S.V."),
VLOOKUP(C124,'[2]Punteggi GW'!A:B,2,FALSE)),"S.V.")</f>
        <v>5.6</v>
      </c>
    </row>
    <row r="125" spans="1:5" x14ac:dyDescent="0.25">
      <c r="A125" s="2" t="s">
        <v>9</v>
      </c>
      <c r="B125" t="str">
        <f>VLOOKUP(C125, [1]Tabelle1!A:B, 2, FALSE)</f>
        <v>    {"name": "Dodò", "slug": "domilson-cordeiro-dos-santos", "role": "DF"},</v>
      </c>
      <c r="C125" t="s">
        <v>85</v>
      </c>
      <c r="D125" t="str">
        <f>IF(_xlfn.XLOOKUP(C125, '[2]Punteggi GW'!$A:$A, '[2]Punteggi GW'!$C:$C, "N/D")=0, "", _xlfn.XLOOKUP(C125, '[2]Punteggi GW'!$A:$A, '[2]Punteggi GW'!$C:$C, "N/D"))</f>
        <v/>
      </c>
      <c r="E125" s="31" cm="1">
        <f t="array" ref="E125">IFERROR(IF(VLOOKUP(C125,'[2]Punteggi GW'!A:B,2,FALSE)="S.V.",
IFERROR(INDEX(E$130:E$138,_xlfn.AGGREGATE(15,6,(ROW(A$130:A$138)-MIN(ROW(A$130:A$138))+1)/(FIND(A125,A$130:A$138)&gt;0),1)) &amp; " 🔄","S.V."),
VLOOKUP(C125,'[2]Punteggi GW'!A:B,2,FALSE)),"S.V.")</f>
        <v>6.6</v>
      </c>
    </row>
    <row r="126" spans="1:5" x14ac:dyDescent="0.25">
      <c r="A126" s="2" t="s">
        <v>86</v>
      </c>
      <c r="B126" t="str">
        <f>VLOOKUP(C126, [1]Tabelle1!A:B, 2, FALSE)</f>
        <v>    {"name": "Koopmeiners", "slug": "teun-koopmeiners", "role": "MF"},</v>
      </c>
      <c r="C126" t="s">
        <v>87</v>
      </c>
      <c r="D126" t="str">
        <f>IF(_xlfn.XLOOKUP(C126, '[2]Punteggi GW'!$A:$A, '[2]Punteggi GW'!$C:$C, "N/D")=0, "", _xlfn.XLOOKUP(C126, '[2]Punteggi GW'!$A:$A, '[2]Punteggi GW'!$C:$C, "N/D"))</f>
        <v/>
      </c>
      <c r="E126" s="31" cm="1">
        <f t="array" ref="E126">IFERROR(IF(VLOOKUP(C126,'[2]Punteggi GW'!A:B,2,FALSE)="S.V.",
IFERROR(INDEX(E$130:E$138,_xlfn.AGGREGATE(15,6,(ROW(A$130:A$138)-MIN(ROW(A$130:A$138))+1)/(FIND(A126,A$130:A$138)&gt;0),1)) &amp; " 🔄","S.V."),
VLOOKUP(C126,'[2]Punteggi GW'!A:B,2,FALSE)),"S.V.")</f>
        <v>12.6</v>
      </c>
    </row>
    <row r="127" spans="1:5" x14ac:dyDescent="0.25">
      <c r="A127" s="1" t="s">
        <v>17</v>
      </c>
      <c r="B127" t="str">
        <f>VLOOKUP(C127, [1]Tabelle1!A:B, 2, FALSE)</f>
        <v>    {"name": "Dallinga", "slug": "thijs-dallinga", "role": "FW"},</v>
      </c>
      <c r="C127" t="s">
        <v>88</v>
      </c>
      <c r="D127" t="str">
        <f>IF(_xlfn.XLOOKUP(C127, '[2]Punteggi GW'!$A:$A, '[2]Punteggi GW'!$C:$C, "N/D")=0, "", _xlfn.XLOOKUP(C127, '[2]Punteggi GW'!$A:$A, '[2]Punteggi GW'!$C:$C, "N/D"))</f>
        <v/>
      </c>
      <c r="E127" s="31" cm="1">
        <f t="array" ref="E127">IFERROR(IF(VLOOKUP(C127,'[2]Punteggi GW'!A:B,2,FALSE)="S.V.",
IFERROR(INDEX(E$130:E$138,_xlfn.AGGREGATE(15,6,(ROW(A$130:A$138)-MIN(ROW(A$130:A$138))+1)/(FIND(A127,A$130:A$138)&gt;0),1)) &amp; " 🔄","S.V."),
VLOOKUP(C127,'[2]Punteggi GW'!A:B,2,FALSE)),"S.V.")</f>
        <v>0</v>
      </c>
    </row>
    <row r="128" spans="1:5" x14ac:dyDescent="0.25">
      <c r="A128" s="3" t="s">
        <v>17</v>
      </c>
      <c r="B128" s="4" t="str">
        <f>VLOOKUP(C128, [1]Tabelle1!A:B, 2, FALSE)</f>
        <v>    {"name": "Retegui", "slug": "mateo-retegui", "role": "FW"},</v>
      </c>
      <c r="C128" s="4" t="s">
        <v>89</v>
      </c>
      <c r="D128" s="4" t="str">
        <f>IF(_xlfn.XLOOKUP(C128, '[2]Punteggi GW'!$A:$A, '[2]Punteggi GW'!$C:$C, "N/D")=0, "", _xlfn.XLOOKUP(C128, '[2]Punteggi GW'!$A:$A, '[2]Punteggi GW'!$C:$C, "N/D"))</f>
        <v/>
      </c>
      <c r="E128" s="32" cm="1">
        <f t="array" ref="E128">IFERROR(IF(VLOOKUP(C128,'[2]Punteggi GW'!A:B,2,FALSE)="S.V.",
IFERROR(INDEX(E$130:E$138,_xlfn.AGGREGATE(15,6,(ROW(A$130:A$138)-MIN(ROW(A$130:A$138))+1)/(FIND(A128,A$130:A$138)&gt;0),1)) &amp; " 🔄","S.V."),
VLOOKUP(C128,'[2]Punteggi GW'!A:B,2,FALSE)),"S.V.")</f>
        <v>8.8000000000000007</v>
      </c>
    </row>
    <row r="129" spans="1:5" x14ac:dyDescent="0.25">
      <c r="A129" s="8" t="s">
        <v>90</v>
      </c>
      <c r="B129" s="7"/>
      <c r="C129" s="7"/>
      <c r="D129" s="7"/>
      <c r="E129" s="29"/>
    </row>
    <row r="130" spans="1:5" x14ac:dyDescent="0.25">
      <c r="A130" s="6" t="s">
        <v>17</v>
      </c>
      <c r="B130" s="6" t="str">
        <f>VLOOKUP(C130, [1]Tabelle1!A:B, 2, FALSE)</f>
        <v>    {"name": "Vlahovic", "slug": "dusan-vlahovic", "role": "FW"},</v>
      </c>
      <c r="C130" s="6" t="s">
        <v>112</v>
      </c>
      <c r="D130" s="6" t="str">
        <f>IFERROR(IF(VLOOKUP(C130,'[2]Punteggi GW'!A:C,3,FALSE)=0,"",
VLOOKUP(C130,'[2]Punteggi GW'!A:C,3,FALSE)),"")</f>
        <v>⚽</v>
      </c>
      <c r="E130" s="30">
        <f>IFERROR(VLOOKUP(C130,'[2]Punteggi GW'!A:B,2,FALSE),"S.V.")</f>
        <v>9.8000000000000007</v>
      </c>
    </row>
    <row r="131" spans="1:5" x14ac:dyDescent="0.25">
      <c r="A131" s="1" t="s">
        <v>104</v>
      </c>
      <c r="B131" t="str">
        <f>VLOOKUP(C131, [1]Tabelle1!A:B, 2, FALSE)</f>
        <v>    {"name": "Zielinski", "slug": "piotr-zielinski", "role": "MF"},</v>
      </c>
      <c r="C131" t="s">
        <v>106</v>
      </c>
      <c r="D131" t="str">
        <f>IFERROR(IF(VLOOKUP(C131,'[2]Punteggi GW'!A:C,3,FALSE)=0,"",
VLOOKUP(C131,'[2]Punteggi GW'!A:C,3,FALSE)),"")</f>
        <v/>
      </c>
      <c r="E131" s="31">
        <f>IFERROR(VLOOKUP(C131,'[2]Punteggi GW'!A:B,2,FALSE),"S.V.")</f>
        <v>4.5999999999999996</v>
      </c>
    </row>
    <row r="132" spans="1:5" x14ac:dyDescent="0.25">
      <c r="A132" s="1" t="s">
        <v>104</v>
      </c>
      <c r="B132" t="str">
        <f>VLOOKUP(C132, [1]Tabelle1!A:B, 2, FALSE)</f>
        <v>    {"name": "Bernabé", "slug": "adrian-bernabe-garcia", "role": "MF"},</v>
      </c>
      <c r="C132" t="s">
        <v>113</v>
      </c>
      <c r="D132" t="str">
        <f>IFERROR(IF(VLOOKUP(C132,'[2]Punteggi GW'!A:C,3,FALSE)=0,"",
VLOOKUP(C132,'[2]Punteggi GW'!A:C,3,FALSE)),"")</f>
        <v/>
      </c>
      <c r="E132" s="31" t="str">
        <f>IFERROR(VLOOKUP(C132,'[2]Punteggi GW'!A:B,2,FALSE),"S.V.")</f>
        <v>S.V.</v>
      </c>
    </row>
    <row r="133" spans="1:5" x14ac:dyDescent="0.25">
      <c r="A133" s="1" t="s">
        <v>27</v>
      </c>
      <c r="B133" t="str">
        <f>VLOOKUP(C133, [1]Tabelle1!A:B, 2, FALSE)</f>
        <v>    {"name": "Zappacosta", "slug": "davide-zappacosta", "role": "DF"},</v>
      </c>
      <c r="C133" t="s">
        <v>114</v>
      </c>
      <c r="D133">
        <f>IFERROR(VLOOKUP(C133,'[2]Punteggi GW'!A:C,3,FALSE)," ")</f>
        <v>0</v>
      </c>
      <c r="E133" s="31" t="str">
        <f>IFERROR(VLOOKUP(C133,'[2]Punteggi GW'!A:B,2,FALSE),"S.V.")</f>
        <v>S.V.</v>
      </c>
    </row>
    <row r="134" spans="1:5" x14ac:dyDescent="0.25">
      <c r="A134" s="1" t="s">
        <v>118</v>
      </c>
      <c r="B134" t="str">
        <f>VLOOKUP(C134, [1]Tabelle1!A:B, 2, FALSE)</f>
        <v>    {"name": "Darmian", "slug": "matteo-darmian", "role": "DF"},</v>
      </c>
      <c r="C134" t="s">
        <v>115</v>
      </c>
      <c r="D134">
        <f>IFERROR(VLOOKUP(C134,'[2]Punteggi GW'!A:C,3,FALSE)," ")</f>
        <v>0</v>
      </c>
      <c r="E134" s="31" t="str">
        <f>IFERROR(VLOOKUP(C134,'[2]Punteggi GW'!A:B,2,FALSE),"S.V.")</f>
        <v>S.V.</v>
      </c>
    </row>
    <row r="135" spans="1:5" x14ac:dyDescent="0.25">
      <c r="A135" s="1" t="s">
        <v>118</v>
      </c>
      <c r="B135" t="str">
        <f>VLOOKUP(C135, [1]Tabelle1!A:B, 2, FALSE)</f>
        <v>    {"name": "Kolasinac", "slug": "sead-kolasinac", "role": "DF"},</v>
      </c>
      <c r="C135" t="s">
        <v>116</v>
      </c>
      <c r="D135">
        <f>IFERROR(VLOOKUP(C135,'[2]Punteggi GW'!A:C,3,FALSE)," ")</f>
        <v>0</v>
      </c>
      <c r="E135" s="31">
        <f>IFERROR(VLOOKUP(C135,'[2]Punteggi GW'!A:B,2,FALSE),"S.V.")</f>
        <v>5.4</v>
      </c>
    </row>
    <row r="136" spans="1:5" x14ac:dyDescent="0.25">
      <c r="A136" s="1" t="s">
        <v>6</v>
      </c>
      <c r="B136" t="str">
        <f>VLOOKUP(C136, [1]Tabelle1!A:B, 2, FALSE)</f>
        <v>    {"name": "Dossena", "slug": "alberto-dossena", "role": "DF"},</v>
      </c>
      <c r="C136" t="s">
        <v>107</v>
      </c>
      <c r="D136">
        <f>IFERROR(VLOOKUP(C136,'[2]Punteggi GW'!A:C,3,FALSE)," ")</f>
        <v>0</v>
      </c>
      <c r="E136" s="31">
        <f>IFERROR(VLOOKUP(C136,'[2]Punteggi GW'!A:B,2,FALSE),"S.V.")</f>
        <v>4.9000000000000004</v>
      </c>
    </row>
    <row r="137" spans="1:5" x14ac:dyDescent="0.25">
      <c r="A137" s="1" t="s">
        <v>6</v>
      </c>
      <c r="B137" t="e">
        <f>VLOOKUP(C137, [1]Tabelle1!A:B, 2, FALSE)</f>
        <v>#N/A</v>
      </c>
      <c r="C137" t="s">
        <v>117</v>
      </c>
      <c r="D137" t="str">
        <f>IFERROR(VLOOKUP(C137,'[2]Punteggi GW'!A:C,3,FALSE)," ")</f>
        <v xml:space="preserve"> </v>
      </c>
      <c r="E137" s="31" t="str">
        <f>IFERROR(VLOOKUP(C137,'[2]Punteggi GW'!A:B,2,FALSE),"S.V.")</f>
        <v>S.V.</v>
      </c>
    </row>
    <row r="138" spans="1:5" x14ac:dyDescent="0.25">
      <c r="A138" s="3" t="s">
        <v>119</v>
      </c>
      <c r="B138" s="4" t="str">
        <f>VLOOKUP(C138, [1]Tabelle1!A:B, 2, FALSE)</f>
        <v>    {"name": "Provedel", "slug": "ivan-provedel", "role": "GK"},</v>
      </c>
      <c r="C138" s="4" t="s">
        <v>108</v>
      </c>
      <c r="D138" s="4" t="str">
        <f>IFERROR(VLOOKUP(C138,'[2]Punteggi GW'!A:C,3,FALSE)," ")</f>
        <v>🥲x1</v>
      </c>
      <c r="E138" s="32">
        <f>IFERROR(VLOOKUP(C138,'[2]Punteggi GW'!A:B,2,FALSE),"S.V.")</f>
        <v>7.4</v>
      </c>
    </row>
    <row r="139" spans="1:5" x14ac:dyDescent="0.25">
      <c r="A139" s="4" t="s">
        <v>20</v>
      </c>
      <c r="B139" s="4"/>
      <c r="C139" s="4"/>
      <c r="D139" s="4"/>
      <c r="E139" s="35">
        <f>SUM(E118:E128)</f>
        <v>126.79999999999997</v>
      </c>
    </row>
  </sheetData>
  <mergeCells count="1">
    <mergeCell ref="A1:E1"/>
  </mergeCells>
  <phoneticPr fontId="4" type="noConversion"/>
  <conditionalFormatting sqref="C3:C13">
    <cfRule type="expression" dxfId="11" priority="23">
      <formula>IFERROR(FIND("🔄",$E3)&gt;0,FALSE)</formula>
    </cfRule>
  </conditionalFormatting>
  <conditionalFormatting sqref="C15:C23">
    <cfRule type="expression" dxfId="10" priority="22">
      <formula>COUNTIF(E$3:E$14,E15 &amp; " 🔄")&gt;0</formula>
    </cfRule>
  </conditionalFormatting>
  <conditionalFormatting sqref="C26:C36">
    <cfRule type="expression" dxfId="9" priority="9">
      <formula>IFERROR(FIND("🔄",$E26)&gt;0,FALSE)</formula>
    </cfRule>
  </conditionalFormatting>
  <conditionalFormatting sqref="C38:C46">
    <cfRule type="expression" dxfId="8" priority="10">
      <formula>COUNTIF(E$26:E$37,E38 &amp; " 🔄")&gt;0</formula>
    </cfRule>
  </conditionalFormatting>
  <conditionalFormatting sqref="C49:C59">
    <cfRule type="expression" dxfId="7" priority="8">
      <formula>IFERROR(FIND("🔄",$E49)&gt;0,FALSE)</formula>
    </cfRule>
  </conditionalFormatting>
  <conditionalFormatting sqref="C61:C69">
    <cfRule type="expression" dxfId="6" priority="4">
      <formula>COUNTIF(E$49:E$60,E61 &amp; " 🔄")&gt;0</formula>
    </cfRule>
  </conditionalFormatting>
  <conditionalFormatting sqref="C72:C82">
    <cfRule type="expression" dxfId="5" priority="7">
      <formula>IFERROR(FIND("🔄",$E72)&gt;0,FALSE)</formula>
    </cfRule>
  </conditionalFormatting>
  <conditionalFormatting sqref="C84:C92">
    <cfRule type="expression" dxfId="4" priority="3">
      <formula>COUNTIF(E$72:E$83,E84 &amp; " 🔄")&gt;0</formula>
    </cfRule>
  </conditionalFormatting>
  <conditionalFormatting sqref="C95:C105">
    <cfRule type="expression" dxfId="3" priority="6">
      <formula>IFERROR(FIND("🔄",$E95)&gt;0,FALSE)</formula>
    </cfRule>
  </conditionalFormatting>
  <conditionalFormatting sqref="C107:C115">
    <cfRule type="expression" dxfId="2" priority="2">
      <formula>COUNTIF(E$95:E$106,E107 &amp; " 🔄")&gt;0</formula>
    </cfRule>
  </conditionalFormatting>
  <conditionalFormatting sqref="C118:C128">
    <cfRule type="expression" dxfId="1" priority="5">
      <formula>IFERROR(FIND("🔄",$E118)&gt;0,FALSE)</formula>
    </cfRule>
  </conditionalFormatting>
  <conditionalFormatting sqref="C130:C138">
    <cfRule type="expression" dxfId="0" priority="1">
      <formula>COUNTIF(E$118:E$129,E130 &amp; " 🔄")&gt;0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Punteggi GW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Federico Leone</cp:lastModifiedBy>
  <cp:revision/>
  <dcterms:created xsi:type="dcterms:W3CDTF">2025-01-26T16:29:47Z</dcterms:created>
  <dcterms:modified xsi:type="dcterms:W3CDTF">2025-02-11T16:20:56Z</dcterms:modified>
  <cp:category/>
  <cp:contentStatus/>
</cp:coreProperties>
</file>